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4\"/>
    </mc:Choice>
  </mc:AlternateContent>
  <xr:revisionPtr revIDLastSave="0" documentId="13_ncr:1_{5CB76191-AB69-4A9B-9F14-AA250D926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8" l="1"/>
</calcChain>
</file>

<file path=xl/sharedStrings.xml><?xml version="1.0" encoding="utf-8"?>
<sst xmlns="http://schemas.openxmlformats.org/spreadsheetml/2006/main" count="85" uniqueCount="52">
  <si>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</si>
  <si>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</si>
  <si>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</si>
  <si>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</si>
  <si>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</si>
  <si>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</si>
  <si>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</si>
  <si>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</si>
  <si>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Proyecto:</t>
  </si>
  <si>
    <t>ID:</t>
  </si>
  <si>
    <t>Estructura de la EDT</t>
  </si>
  <si>
    <t>Nota:</t>
  </si>
  <si>
    <t>Se puede contratar a nivel de producto, entregable o paquete de trabajo. No siempre es necesario desagregar tanto las adquisiciones.</t>
  </si>
  <si>
    <t xml:space="preserve">Segmentación de mercado para Targeting </t>
  </si>
  <si>
    <t>SMT-2026-01</t>
  </si>
  <si>
    <t xml:space="preserve">Total </t>
  </si>
  <si>
    <t>Implementación de Modelos de Clustering - Fase 2 y Validación</t>
  </si>
  <si>
    <t>Implementación de DBSCAN</t>
  </si>
  <si>
    <t>Servicios</t>
  </si>
  <si>
    <t>Contratación Directa</t>
  </si>
  <si>
    <t>4.1.1</t>
  </si>
  <si>
    <t>Configuración de parámetros eps y min_samples</t>
  </si>
  <si>
    <t>Servicios Consultoría Individual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</si>
  <si>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</si>
  <si>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</si>
  <si>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</si>
  <si>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</si>
  <si>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</si>
  <si>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</si>
  <si>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</si>
  <si>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</si>
  <si>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</si>
  <si>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</si>
  <si>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</si>
  <si>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</si>
  <si>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4.3.1</t>
  </si>
  <si>
    <t>Matriz de decisión de modelos</t>
  </si>
  <si>
    <t>4.3.2</t>
  </si>
  <si>
    <t>Validación cualitativa con equipo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</si>
  <si>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</si>
  <si>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</si>
  <si>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</si>
  <si>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</si>
  <si>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</si>
  <si>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</si>
  <si>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</si>
  <si>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</si>
  <si>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Actualizar repositorio institucional</t>
  </si>
  <si>
    <t>4.4.4</t>
  </si>
  <si>
    <t>Reunión de revisión Hito 2</t>
  </si>
  <si>
    <t>4.4.5</t>
  </si>
  <si>
    <t>Planificación preliminar del 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</si>
</sst>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6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horizontal="right"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7" fillId="4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8" fontId="7" fillId="4" borderId="17" xfId="0" applyNumberFormat="1" applyFont="1" applyFill="1" applyBorder="1" applyAlignment="1" applyProtection="1">
      <alignment vertical="top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9" fontId="8" fillId="0" borderId="10" xfId="0" applyNumberFormat="1" applyFont="1" applyBorder="1" applyAlignment="1" applyProtection="1">
      <alignment vertical="center" wrapText="1"/>
      <protection locked="0"/>
    </xf>
    <xf numFmtId="14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/>
      <protection locked="0"/>
    </xf>
    <xf numFmtId="9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 wrapText="1"/>
      <protection locked="0"/>
    </xf>
    <xf numFmtId="0" fontId="6" fillId="5" borderId="16" xfId="0" applyFont="1" applyFill="1" applyBorder="1" applyAlignment="1" applyProtection="1">
      <alignment horizontal="left" vertical="center"/>
      <protection locked="0"/>
    </xf>
    <xf numFmtId="0" fontId="6" fillId="5" borderId="10" xfId="0" applyFont="1" applyFill="1" applyBorder="1" applyAlignment="1" applyProtection="1">
      <alignment vertical="top"/>
      <protection locked="0"/>
    </xf>
    <xf numFmtId="9" fontId="6" fillId="5" borderId="10" xfId="0" applyNumberFormat="1" applyFont="1" applyFill="1" applyBorder="1" applyAlignment="1" applyProtection="1">
      <alignment vertical="top"/>
      <protection locked="0"/>
    </xf>
    <xf numFmtId="0" fontId="6" fillId="5" borderId="10" xfId="0" applyFont="1" applyFill="1" applyBorder="1" applyAlignment="1" applyProtection="1">
      <alignment horizontal="right" vertical="top"/>
      <protection locked="0"/>
    </xf>
    <xf numFmtId="14" fontId="6" fillId="5" borderId="10" xfId="0" applyNumberFormat="1" applyFont="1" applyFill="1" applyBorder="1" applyAlignment="1" applyProtection="1">
      <alignment vertical="top"/>
      <protection locked="0"/>
    </xf>
    <xf numFmtId="8" fontId="6" fillId="5" borderId="17" xfId="0" applyNumberFormat="1" applyFont="1" applyFill="1" applyBorder="1" applyAlignment="1" applyProtection="1">
      <alignment vertical="top"/>
      <protection locked="0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8" fontId="8" fillId="0" borderId="1" xfId="1" applyNumberFormat="1" applyFont="1" applyFill="1" applyBorder="1" applyAlignment="1">
      <alignment horizontal="right" vertical="top" wrapText="1"/>
    </xf>
    <xf numFmtId="8" fontId="8" fillId="0" borderId="1" xfId="1" applyNumberFormat="1" applyFont="1" applyBorder="1" applyAlignment="1">
      <alignment horizontal="right" vertical="top" wrapText="1"/>
    </xf>
    <xf numFmtId="0" fontId="6" fillId="3" borderId="21" xfId="0" applyFont="1" applyFill="1" applyBorder="1" applyAlignment="1">
      <alignment horizontal="right" vertical="top" wrapText="1"/>
    </xf>
    <xf numFmtId="0" fontId="6" fillId="3" borderId="22" xfId="0" applyFont="1" applyFill="1" applyBorder="1" applyAlignment="1">
      <alignment horizontal="right" vertical="top" wrapText="1"/>
    </xf>
    <xf numFmtId="0" fontId="6" fillId="3" borderId="23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 applyProtection="1">
      <alignment horizontal="left" vertical="center"/>
      <protection locked="0"/>
    </xf>
    <xf numFmtId="0" fontId="8" fillId="0" borderId="10" xfId="0" applyFont="1" applyFill="1" applyBorder="1" applyAlignment="1" applyProtection="1">
      <alignment vertical="top"/>
      <protection locked="0"/>
    </xf>
    <xf numFmtId="9" fontId="8" fillId="0" borderId="10" xfId="0" applyNumberFormat="1" applyFont="1" applyFill="1" applyBorder="1" applyAlignment="1" applyProtection="1">
      <alignment vertical="top"/>
      <protection locked="0"/>
    </xf>
    <xf numFmtId="0" fontId="8" fillId="0" borderId="10" xfId="0" applyFont="1" applyFill="1" applyBorder="1" applyAlignment="1" applyProtection="1">
      <alignment vertical="top" wrapText="1"/>
      <protection locked="0"/>
    </xf>
    <xf numFmtId="14" fontId="8" fillId="0" borderId="10" xfId="0" applyNumberFormat="1" applyFont="1" applyFill="1" applyBorder="1" applyAlignment="1" applyProtection="1">
      <alignment vertical="top"/>
      <protection locked="0"/>
    </xf>
    <xf numFmtId="8" fontId="8" fillId="0" borderId="17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vertical="top" wrapText="1"/>
      <protection locked="0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0</xdr:row>
      <xdr:rowOff>79248</xdr:rowOff>
    </xdr:from>
    <xdr:to>
      <xdr:col>3</xdr:col>
      <xdr:colOff>1486356</xdr:colOff>
      <xdr:row>3</xdr:row>
      <xdr:rowOff>45717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2715B55F-CF73-487C-8108-6E00AB5E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424" y="79248"/>
          <a:ext cx="1394916" cy="515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36"/>
  <sheetViews>
    <sheetView showGridLines="0" tabSelected="1" zoomScale="81" zoomScaleNormal="100" workbookViewId="0">
      <selection activeCell="E38" sqref="E38"/>
    </sheetView>
  </sheetViews>
  <sheetFormatPr baseColWidth="10" defaultColWidth="11.44140625" defaultRowHeight="14.4" x14ac:dyDescent="0.3"/>
  <cols>
    <col min="1" max="1" width="4.109375" customWidth="1"/>
    <col min="2" max="2" width="3.44140625" customWidth="1"/>
    <col min="3" max="3" width="12.77734375" customWidth="1"/>
    <col min="4" max="4" width="53.6640625" customWidth="1"/>
    <col min="5" max="5" width="38.77734375" customWidth="1"/>
    <col min="6" max="6" width="24.33203125" customWidth="1"/>
    <col min="7" max="8" width="13.8867187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44" t="s">
        <v>0</v>
      </c>
      <c r="D6" s="44"/>
      <c r="E6" s="44"/>
      <c r="F6" s="44"/>
      <c r="G6" s="44"/>
      <c r="H6" s="44"/>
      <c r="I6" s="44"/>
      <c r="J6" s="5"/>
    </row>
    <row r="7" spans="2:10" ht="15" thickBot="1" x14ac:dyDescent="0.35">
      <c r="B7" s="4"/>
      <c r="J7" s="5"/>
    </row>
    <row r="8" spans="2:10" x14ac:dyDescent="0.3">
      <c r="B8" s="4"/>
      <c r="C8" s="18" t="s">
        <v>8</v>
      </c>
      <c r="D8" s="45" t="s">
        <v>13</v>
      </c>
      <c r="E8" s="45"/>
      <c r="F8" s="45"/>
      <c r="G8" s="45"/>
      <c r="H8" s="45"/>
      <c r="I8" s="46"/>
      <c r="J8" s="5"/>
    </row>
    <row r="9" spans="2:10" ht="15" thickBot="1" x14ac:dyDescent="0.35">
      <c r="B9" s="4"/>
      <c r="C9" s="19" t="s">
        <v>9</v>
      </c>
      <c r="D9" s="47" t="s">
        <v>14</v>
      </c>
      <c r="E9" s="47"/>
      <c r="F9" s="47"/>
      <c r="G9" s="47"/>
      <c r="H9" s="47"/>
      <c r="I9" s="48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49" t="s">
        <v>1</v>
      </c>
      <c r="D11" s="51" t="s">
        <v>10</v>
      </c>
      <c r="E11" s="51" t="s">
        <v>2</v>
      </c>
      <c r="F11" s="51" t="s">
        <v>3</v>
      </c>
      <c r="G11" s="51" t="s">
        <v>7</v>
      </c>
      <c r="H11" s="51"/>
      <c r="I11" s="53" t="s">
        <v>5</v>
      </c>
      <c r="J11" s="5"/>
    </row>
    <row r="12" spans="2:10" x14ac:dyDescent="0.3">
      <c r="B12" s="4"/>
      <c r="C12" s="50"/>
      <c r="D12" s="52"/>
      <c r="E12" s="52"/>
      <c r="F12" s="52"/>
      <c r="G12" s="10" t="s">
        <v>4</v>
      </c>
      <c r="H12" s="10" t="s">
        <v>6</v>
      </c>
      <c r="I12" s="54"/>
      <c r="J12" s="5"/>
    </row>
    <row r="13" spans="2:10" ht="12.6" customHeight="1" x14ac:dyDescent="0.3">
      <c r="B13" s="4"/>
      <c r="C13" s="31">
        <v>4</v>
      </c>
      <c r="D13" s="32" t="s">
        <v>16</v>
      </c>
      <c r="E13" s="33"/>
      <c r="F13" s="34"/>
      <c r="G13" s="35"/>
      <c r="H13" s="35"/>
      <c r="I13" s="36">
        <v>75000</v>
      </c>
      <c r="J13" s="5"/>
    </row>
    <row r="14" spans="2:10" ht="12.6" customHeight="1" x14ac:dyDescent="0.3">
      <c r="B14" s="4"/>
      <c r="C14" s="17">
        <v>4.0999999999999996</v>
      </c>
      <c r="D14" s="11" t="s">
        <v>17</v>
      </c>
      <c r="E14" s="12" t="s">
        <v>18</v>
      </c>
      <c r="F14" s="13" t="s">
        <v>19</v>
      </c>
      <c r="G14" s="14">
        <v>46111</v>
      </c>
      <c r="H14" s="14">
        <v>46113</v>
      </c>
      <c r="I14" s="20">
        <v>20000</v>
      </c>
      <c r="J14" s="5"/>
    </row>
    <row r="15" spans="2:10" ht="12.6" customHeight="1" x14ac:dyDescent="0.3">
      <c r="B15" s="4"/>
      <c r="C15" s="21" t="s">
        <v>20</v>
      </c>
      <c r="D15" s="22" t="s">
        <v>21</v>
      </c>
      <c r="E15" s="23" t="s">
        <v>22</v>
      </c>
      <c r="F15" s="29" t="s">
        <v>19</v>
      </c>
      <c r="G15" s="24">
        <v>46111</v>
      </c>
      <c r="H15" s="24">
        <v>46111</v>
      </c>
      <c r="I15" s="25">
        <v>7000</v>
      </c>
      <c r="J15" s="5"/>
    </row>
    <row r="16" spans="2:10" ht="12.6" customHeight="1" x14ac:dyDescent="0.3">
      <c r="B16" s="4"/>
      <c r="C16" s="21" t="s">
        <v>23</v>
      </c>
      <c r="D16" s="26" t="s">
        <v>24</v>
      </c>
      <c r="E16" s="27" t="s">
        <v>22</v>
      </c>
      <c r="F16" s="30" t="s">
        <v>19</v>
      </c>
      <c r="G16" s="24">
        <v>46112</v>
      </c>
      <c r="H16" s="24">
        <v>46112</v>
      </c>
      <c r="I16" s="28">
        <v>7000</v>
      </c>
      <c r="J16" s="5"/>
    </row>
    <row r="17" spans="2:10" x14ac:dyDescent="0.3">
      <c r="B17" s="4"/>
      <c r="C17" s="55" t="s">
        <v>25</v>
      </c>
      <c r="D17" s="56" t="s">
        <v>26</v>
      </c>
      <c r="E17" s="57" t="s">
        <v>22</v>
      </c>
      <c r="F17" s="56" t="s">
        <v>19</v>
      </c>
      <c r="G17" s="59">
        <v>46113</v>
      </c>
      <c r="H17" s="59">
        <v>46113</v>
      </c>
      <c r="I17" s="60">
        <v>6000</v>
      </c>
      <c r="J17" s="5"/>
    </row>
    <row r="18" spans="2:10" x14ac:dyDescent="0.3">
      <c r="B18" s="4"/>
      <c r="C18" s="17">
        <v>4.2</v>
      </c>
      <c r="D18" s="11" t="s">
        <v>27</v>
      </c>
      <c r="E18" s="12" t="s">
        <v>18</v>
      </c>
      <c r="F18" s="61" t="s">
        <v>19</v>
      </c>
      <c r="G18" s="14">
        <v>46114</v>
      </c>
      <c r="H18" s="14">
        <v>46118</v>
      </c>
      <c r="I18" s="20">
        <v>23000</v>
      </c>
      <c r="J18" s="5"/>
    </row>
    <row r="19" spans="2:10" x14ac:dyDescent="0.3">
      <c r="B19" s="4"/>
      <c r="C19" s="55" t="s">
        <v>28</v>
      </c>
      <c r="D19" s="56" t="s">
        <v>29</v>
      </c>
      <c r="E19" s="57" t="s">
        <v>22</v>
      </c>
      <c r="F19" s="58" t="s">
        <v>19</v>
      </c>
      <c r="G19" s="59">
        <v>46114</v>
      </c>
      <c r="H19" s="59">
        <v>46114</v>
      </c>
      <c r="I19" s="60">
        <v>8000</v>
      </c>
      <c r="J19" s="5"/>
    </row>
    <row r="20" spans="2:10" x14ac:dyDescent="0.3">
      <c r="B20" s="4"/>
      <c r="C20" s="55" t="s">
        <v>30</v>
      </c>
      <c r="D20" s="56" t="s">
        <v>31</v>
      </c>
      <c r="E20" s="57" t="s">
        <v>22</v>
      </c>
      <c r="F20" s="56" t="s">
        <v>19</v>
      </c>
      <c r="G20" s="59">
        <v>46115</v>
      </c>
      <c r="H20" s="59">
        <v>46115</v>
      </c>
      <c r="I20" s="60">
        <v>8000</v>
      </c>
      <c r="J20" s="5"/>
    </row>
    <row r="21" spans="2:10" x14ac:dyDescent="0.3">
      <c r="B21" s="4"/>
      <c r="C21" s="55" t="s">
        <v>32</v>
      </c>
      <c r="D21" s="56" t="s">
        <v>33</v>
      </c>
      <c r="E21" s="57" t="s">
        <v>22</v>
      </c>
      <c r="F21" s="56" t="s">
        <v>19</v>
      </c>
      <c r="G21" s="59">
        <v>46118</v>
      </c>
      <c r="H21" s="59">
        <v>46118</v>
      </c>
      <c r="I21" s="60">
        <v>7000</v>
      </c>
      <c r="J21" s="5"/>
    </row>
    <row r="22" spans="2:10" x14ac:dyDescent="0.3">
      <c r="B22" s="4"/>
      <c r="C22" s="17">
        <v>4.3</v>
      </c>
      <c r="D22" s="11" t="s">
        <v>34</v>
      </c>
      <c r="E22" s="12" t="s">
        <v>18</v>
      </c>
      <c r="F22" s="61" t="s">
        <v>19</v>
      </c>
      <c r="G22" s="14">
        <v>46119</v>
      </c>
      <c r="H22" s="14">
        <v>46120</v>
      </c>
      <c r="I22" s="20">
        <v>17000</v>
      </c>
      <c r="J22" s="5"/>
    </row>
    <row r="23" spans="2:10" x14ac:dyDescent="0.3">
      <c r="B23" s="4"/>
      <c r="C23" s="55" t="s">
        <v>35</v>
      </c>
      <c r="D23" s="56" t="s">
        <v>36</v>
      </c>
      <c r="E23" s="57" t="s">
        <v>22</v>
      </c>
      <c r="F23" s="58" t="s">
        <v>19</v>
      </c>
      <c r="G23" s="59">
        <v>46119</v>
      </c>
      <c r="H23" s="59">
        <v>46119</v>
      </c>
      <c r="I23" s="60">
        <v>6000</v>
      </c>
      <c r="J23" s="5"/>
    </row>
    <row r="24" spans="2:10" x14ac:dyDescent="0.3">
      <c r="B24" s="4"/>
      <c r="C24" s="55" t="s">
        <v>37</v>
      </c>
      <c r="D24" s="56" t="s">
        <v>38</v>
      </c>
      <c r="E24" s="57" t="s">
        <v>22</v>
      </c>
      <c r="F24" s="56" t="s">
        <v>19</v>
      </c>
      <c r="G24" s="59">
        <v>46120</v>
      </c>
      <c r="H24" s="59">
        <v>46120</v>
      </c>
      <c r="I24" s="60">
        <v>6000</v>
      </c>
      <c r="J24" s="5"/>
    </row>
    <row r="25" spans="2:10" x14ac:dyDescent="0.3">
      <c r="B25" s="4"/>
      <c r="C25" s="55" t="s">
        <v>39</v>
      </c>
      <c r="D25" s="56" t="s">
        <v>40</v>
      </c>
      <c r="E25" s="57" t="s">
        <v>22</v>
      </c>
      <c r="F25" s="58" t="s">
        <v>19</v>
      </c>
      <c r="G25" s="59">
        <v>46120</v>
      </c>
      <c r="H25" s="59">
        <v>46120</v>
      </c>
      <c r="I25" s="60">
        <v>5000</v>
      </c>
      <c r="J25" s="5"/>
    </row>
    <row r="26" spans="2:10" x14ac:dyDescent="0.3">
      <c r="B26" s="4"/>
      <c r="C26" s="17">
        <v>4.4000000000000004</v>
      </c>
      <c r="D26" s="11" t="s">
        <v>41</v>
      </c>
      <c r="E26" s="12" t="s">
        <v>18</v>
      </c>
      <c r="F26" s="61" t="s">
        <v>19</v>
      </c>
      <c r="G26" s="14">
        <v>46121</v>
      </c>
      <c r="H26" s="14">
        <v>46122</v>
      </c>
      <c r="I26" s="20">
        <v>15000</v>
      </c>
      <c r="J26" s="5"/>
    </row>
    <row r="27" spans="2:10" x14ac:dyDescent="0.3">
      <c r="B27" s="4"/>
      <c r="C27" s="55" t="s">
        <v>42</v>
      </c>
      <c r="D27" s="56" t="s">
        <v>43</v>
      </c>
      <c r="E27" s="57" t="s">
        <v>22</v>
      </c>
      <c r="F27" s="56" t="s">
        <v>19</v>
      </c>
      <c r="G27" s="59">
        <v>46121</v>
      </c>
      <c r="H27" s="59">
        <v>46121</v>
      </c>
      <c r="I27" s="60">
        <v>4000</v>
      </c>
      <c r="J27" s="5"/>
    </row>
    <row r="28" spans="2:10" x14ac:dyDescent="0.3">
      <c r="B28" s="4"/>
      <c r="C28" s="55" t="s">
        <v>44</v>
      </c>
      <c r="D28" s="56" t="s">
        <v>45</v>
      </c>
      <c r="E28" s="57" t="s">
        <v>22</v>
      </c>
      <c r="F28" s="56" t="s">
        <v>19</v>
      </c>
      <c r="G28" s="59">
        <v>46121</v>
      </c>
      <c r="H28" s="59">
        <v>46121</v>
      </c>
      <c r="I28" s="60">
        <v>4000</v>
      </c>
      <c r="J28" s="5"/>
    </row>
    <row r="29" spans="2:10" x14ac:dyDescent="0.3">
      <c r="B29" s="4"/>
      <c r="C29" s="55" t="s">
        <v>46</v>
      </c>
      <c r="D29" s="56" t="s">
        <v>47</v>
      </c>
      <c r="E29" s="57" t="s">
        <v>22</v>
      </c>
      <c r="F29" s="58" t="s">
        <v>19</v>
      </c>
      <c r="G29" s="59">
        <v>46122</v>
      </c>
      <c r="H29" s="59">
        <v>46122</v>
      </c>
      <c r="I29" s="60">
        <v>3000</v>
      </c>
      <c r="J29" s="5"/>
    </row>
    <row r="30" spans="2:10" x14ac:dyDescent="0.3">
      <c r="B30" s="4"/>
      <c r="C30" s="55" t="s">
        <v>48</v>
      </c>
      <c r="D30" s="56" t="s">
        <v>49</v>
      </c>
      <c r="E30" s="57" t="s">
        <v>22</v>
      </c>
      <c r="F30" s="58" t="s">
        <v>19</v>
      </c>
      <c r="G30" s="59">
        <v>46122</v>
      </c>
      <c r="H30" s="59">
        <v>46122</v>
      </c>
      <c r="I30" s="60">
        <v>3000</v>
      </c>
      <c r="J30" s="5"/>
    </row>
    <row r="31" spans="2:10" x14ac:dyDescent="0.3">
      <c r="B31" s="4"/>
      <c r="C31" s="37" t="s">
        <v>50</v>
      </c>
      <c r="D31" s="37" t="s">
        <v>51</v>
      </c>
      <c r="E31" s="37" t="s">
        <v>22</v>
      </c>
      <c r="F31" s="38" t="s">
        <v>19</v>
      </c>
      <c r="G31" s="24">
        <v>46122</v>
      </c>
      <c r="H31" s="24">
        <v>46122</v>
      </c>
      <c r="I31" s="39">
        <v>1000</v>
      </c>
      <c r="J31" s="5"/>
    </row>
    <row r="32" spans="2:10" x14ac:dyDescent="0.3">
      <c r="B32" s="4"/>
      <c r="C32" s="41" t="s">
        <v>15</v>
      </c>
      <c r="D32" s="42"/>
      <c r="E32" s="42"/>
      <c r="F32" s="42"/>
      <c r="G32" s="42"/>
      <c r="H32" s="43"/>
      <c r="I32" s="40">
        <f>SUM(I15:I17,I19:I21,I23:I25,I27:I31)</f>
        <v>75000</v>
      </c>
      <c r="J32" s="5"/>
    </row>
    <row r="33" spans="2:10" ht="15" thickBot="1" x14ac:dyDescent="0.35">
      <c r="B33" s="6"/>
      <c r="C33" s="7"/>
      <c r="D33" s="7"/>
      <c r="E33" s="7"/>
      <c r="F33" s="7"/>
      <c r="G33" s="7"/>
      <c r="H33" s="7"/>
      <c r="I33" s="7"/>
      <c r="J33" s="8"/>
    </row>
    <row r="34" spans="2:10" ht="15" thickTop="1" x14ac:dyDescent="0.3"/>
    <row r="35" spans="2:10" x14ac:dyDescent="0.3">
      <c r="C35" s="9"/>
      <c r="D35" s="16" t="s">
        <v>11</v>
      </c>
    </row>
    <row r="36" spans="2:10" ht="43.2" x14ac:dyDescent="0.3">
      <c r="C36" s="9"/>
      <c r="D36" s="15" t="s">
        <v>12</v>
      </c>
    </row>
  </sheetData>
  <mergeCells count="10">
    <mergeCell ref="C32:H32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2026-03-21T05:31:03Z</cp:lastPrinted>
  <dcterms:created xsi:type="dcterms:W3CDTF">2012-05-16T15:42:04Z</dcterms:created>
  <dcterms:modified xsi:type="dcterms:W3CDTF">2026-04-30T22:01:47Z</dcterms:modified>
</cp:coreProperties>
</file>