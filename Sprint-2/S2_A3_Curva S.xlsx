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charts/chart1.xml" ContentType="application/vnd.openxmlformats-officedocument.drawingml.chart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9725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Users\iapg0\OneDrive\Escritorio\Documentos\octavo semestre\gestion de proyectos\proyecto\sprint 2\"/>
    </mc:Choice>
  </mc:AlternateContent>
  <xr:revisionPtr revIDLastSave="0" documentId="13_ncr:1_{8F9EC21A-5EBF-4A15-8369-1A902A41CED6}" xr6:coauthVersionLast="47" xr6:coauthVersionMax="47" xr10:uidLastSave="{00000000-0000-0000-0000-000000000000}"/>
  <bookViews>
    <workbookView xWindow="-108" yWindow="-108" windowWidth="23256" windowHeight="12456" activeTab="1" xr2:uid="{00000000-000D-0000-FFFF-FFFF00000000}"/>
  </bookViews>
  <sheets>
    <sheet name="Detalle de Costos" sheetId="11" r:id="rId1"/>
    <sheet name="Plantilla Curva S" sheetId="4" r:id="rId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calcChain.xml><?xml version="1.0" encoding="utf-8"?>
<calcChain xmlns="http://schemas.openxmlformats.org/spreadsheetml/2006/main">
  <c r="F18" i="4" l="1"/>
  <c r="G18" i="4"/>
  <c r="E18" i="4"/>
  <c r="D18" i="4"/>
  <c r="E15" i="4"/>
  <c r="F15" i="4"/>
  <c r="G15" i="4"/>
  <c r="H15" i="4"/>
  <c r="I15" i="4"/>
  <c r="J15" i="4"/>
  <c r="K15" i="4"/>
  <c r="L15" i="4"/>
  <c r="M15" i="4"/>
  <c r="N15" i="4"/>
  <c r="O15" i="4"/>
  <c r="E137" i="11"/>
  <c r="D137" i="11"/>
  <c r="C137" i="11"/>
  <c r="D15" i="4" s="1"/>
  <c r="G137" i="11"/>
  <c r="H137" i="11"/>
  <c r="I137" i="11"/>
  <c r="J137" i="11"/>
  <c r="K137" i="11"/>
  <c r="L137" i="11"/>
  <c r="M137" i="11"/>
  <c r="N137" i="11"/>
  <c r="F137" i="11"/>
  <c r="D16" i="4" l="1"/>
  <c r="E16" i="4" s="1"/>
  <c r="F16" i="4" s="1"/>
  <c r="G16" i="4" s="1"/>
  <c r="H16" i="4" s="1"/>
  <c r="I16" i="4" s="1"/>
  <c r="J16" i="4" s="1"/>
  <c r="K16" i="4" s="1"/>
  <c r="L16" i="4" s="1"/>
  <c r="M16" i="4" s="1"/>
  <c r="N16" i="4" s="1"/>
  <c r="O16" i="4" s="1"/>
</calcChain>
</file>

<file path=xl/sharedStrings.xml><?xml version="1.0" encoding="utf-8"?>
<sst xmlns="http://schemas.openxmlformats.org/spreadsheetml/2006/main" count="241" uniqueCount="233">
  <si>
    <t>Valor Planificado</t>
  </si>
  <si>
    <t>Costo Real</t>
  </si>
  <si>
    <t>Proyecto:</t>
  </si>
  <si>
    <t>ID:</t>
  </si>
  <si>
    <t>Fecha de Corte:</t>
  </si>
  <si>
    <t>Fecha de Inicio</t>
  </si>
  <si>
    <t>Fecha Fin:</t>
  </si>
  <si>
    <t>Valor Planificado Acumulado</t>
  </si>
  <si>
    <t>Costo Real Acumulado</t>
  </si>
  <si>
    <t>Curva S de Recursos</t>
  </si>
  <si>
    <t>Nombre del Proyecto</t>
  </si>
  <si>
    <t>Código identificador del proyecto.</t>
  </si>
  <si>
    <t>Costos por paquete de trabajo</t>
  </si>
  <si>
    <t>Paquete de Trabajo</t>
  </si>
  <si>
    <t>TOTAL</t>
  </si>
  <si>
    <t xml:space="preserve">Semanas </t>
  </si>
  <si>
    <t>2.1.1</t>
  </si>
  <si>
    <t>2.2.1</t>
  </si>
  <si>
    <t>2.2.2</t>
  </si>
  <si>
    <t>2.3.1</t>
  </si>
  <si>
    <t>Creación de matriz de correlación</t>
  </si>
  <si>
    <t>2.3.2</t>
  </si>
  <si>
    <t>2.3.3</t>
  </si>
  <si>
    <t>2.4.1</t>
  </si>
  <si>
    <t>2.4.2</t>
  </si>
  <si>
    <t>2.4.3</t>
  </si>
  <si>
    <t>Configuración del Entorno y Kick-off</t>
  </si>
  <si>
    <t>1.1.1</t>
  </si>
  <si>
    <t>Reunión de planificación del Sprint 1</t>
  </si>
  <si>
    <t>1.1.2</t>
  </si>
  <si>
    <t>Configuración de herramientas colaborativas</t>
  </si>
  <si>
    <t>1.1.3</t>
  </si>
  <si>
    <t>Verificación de acceso a recursos</t>
  </si>
  <si>
    <t>1.1.4</t>
  </si>
  <si>
    <t>Documentación de autorizaciones institucionales</t>
  </si>
  <si>
    <t>Comprensión del Contexto del Negocio y los Datos</t>
  </si>
  <si>
    <t>1.2.1</t>
  </si>
  <si>
    <t>Análisis del problema de negocio</t>
  </si>
  <si>
    <t>1.2.2</t>
  </si>
  <si>
    <t>Definición de segmento desde perspectiva de negocio</t>
  </si>
  <si>
    <t>1.2.3</t>
  </si>
  <si>
    <t>Elaboración de diccionario de datos</t>
  </si>
  <si>
    <t>1.3.1</t>
  </si>
  <si>
    <t>Configuración del notebook en Google Colab</t>
  </si>
  <si>
    <t>1.3.2</t>
  </si>
  <si>
    <t>Exploración inicial de la estructura</t>
  </si>
  <si>
    <t>1.3.3</t>
  </si>
  <si>
    <t>1.4.1</t>
  </si>
  <si>
    <t>1.4.2</t>
  </si>
  <si>
    <t>1.4.3</t>
  </si>
  <si>
    <t>1.4.4</t>
  </si>
  <si>
    <t>Limpieza y comentarios del notebook</t>
  </si>
  <si>
    <t>Elaboración de reporte de avance</t>
  </si>
  <si>
    <t>Actualización de bitácora y tablero Kanban</t>
  </si>
  <si>
    <t xml:space="preserve">Segmentación de mercado para Targeting </t>
  </si>
  <si>
    <t>SMT - 2026 - 1</t>
  </si>
  <si>
    <t xml:space="preserve">Semana </t>
  </si>
  <si>
    <t>Carga y Exploración Estructural de Datos</t>
  </si>
  <si>
    <t>Identificación de valores nulos y duplicados</t>
  </si>
  <si>
    <t>1.3.4</t>
  </si>
  <si>
    <t>Estadísticos descriptivos básicos</t>
  </si>
  <si>
    <t>Documentación y Cierre del Sprint 1</t>
  </si>
  <si>
    <t>Reunión de revisión preliminar con profesor</t>
  </si>
  <si>
    <t>Análisis Univariado con Visualizaciones</t>
  </si>
  <si>
    <t>Análisis Bivariado y Correlaciones</t>
  </si>
  <si>
    <t>Heatmap visual de correlaciones</t>
  </si>
  <si>
    <t>2.2.3</t>
  </si>
  <si>
    <t>Scatter plots de relaciones clave</t>
  </si>
  <si>
    <t>2.2.4</t>
  </si>
  <si>
    <t>Identificación de variables clave</t>
  </si>
  <si>
    <t>Determinación del Número Óptimo de Clusters</t>
  </si>
  <si>
    <t>Método del codo (Elbow)</t>
  </si>
  <si>
    <t>Silhouette Score</t>
  </si>
  <si>
    <t>Validación cualitativa del equipo</t>
  </si>
  <si>
    <t>Documentación y Cierre del Sprint 2 (Hito 1)</t>
  </si>
  <si>
    <t>Preparar reportes finales correspondientes al sprint</t>
  </si>
  <si>
    <t>Actualizar repositorio institucional</t>
  </si>
  <si>
    <t>Reunión de revisión Hito 1</t>
  </si>
  <si>
    <t>Preparación y Exploración Inicial de Datos</t>
  </si>
  <si>
    <t xml:space="preserve">Implementación de Modelos de Clustering </t>
  </si>
  <si>
    <t>Análisis de variable Gender</t>
  </si>
  <si>
    <t>2.1.2</t>
  </si>
  <si>
    <t>Análisis de variable Age</t>
  </si>
  <si>
    <t>2.1.3</t>
  </si>
  <si>
    <t>Análisis de variable Annual Income</t>
  </si>
  <si>
    <t>2.1.4</t>
  </si>
  <si>
    <t>Análisis de variable Spending Score</t>
  </si>
  <si>
    <t>Preparación de Datos para Modelado</t>
  </si>
  <si>
    <t>Normalización de variables numéricas</t>
  </si>
  <si>
    <t>Codificación de variable categórica</t>
  </si>
  <si>
    <t>Validación de dataset final</t>
  </si>
  <si>
    <t>Implementación Inicial de K-Means</t>
  </si>
  <si>
    <t>2.5.1</t>
  </si>
  <si>
    <t>Configuración de parámetros K-Means</t>
  </si>
  <si>
    <t>2.5.2</t>
  </si>
  <si>
    <t>Entrenamiento del modelo K-Means</t>
  </si>
  <si>
    <t>2.5.3</t>
  </si>
  <si>
    <t>Asignación de clusters a clientes</t>
  </si>
  <si>
    <t>2.6.1</t>
  </si>
  <si>
    <t>2.6.2</t>
  </si>
  <si>
    <t>2.6.3</t>
  </si>
  <si>
    <t>2.6.4</t>
  </si>
  <si>
    <t>2.6.5</t>
  </si>
  <si>
    <t>EDA Completo, Determinación de Clusters e Inicio de Modelado</t>
  </si>
  <si>
    <t>Optimización de K-Means</t>
  </si>
  <si>
    <t>3.1.1</t>
  </si>
  <si>
    <t>Ajuste de hiperparámetros</t>
  </si>
  <si>
    <t>3.1.2</t>
  </si>
  <si>
    <t>Validación de estabilidad del modelo</t>
  </si>
  <si>
    <t>3.1.3</t>
  </si>
  <si>
    <t>Documentación de configuración final</t>
  </si>
  <si>
    <t>Implementación de Clustering Jerárquico</t>
  </si>
  <si>
    <t>3.2.1</t>
  </si>
  <si>
    <t>Configuración de linkage y métrica</t>
  </si>
  <si>
    <t>3.2.2</t>
  </si>
  <si>
    <t>Generación de dendrograma</t>
  </si>
  <si>
    <t>3.2.3</t>
  </si>
  <si>
    <t>Corte del dendrograma y asignación</t>
  </si>
  <si>
    <t>Evaluación Comparativa de Modelos</t>
  </si>
  <si>
    <t>3.3.1</t>
  </si>
  <si>
    <t>Cálculo de inercia por modelo</t>
  </si>
  <si>
    <t>3.3.2</t>
  </si>
  <si>
    <t>Visualización de clusters en 2D</t>
  </si>
  <si>
    <t>3.3.3</t>
  </si>
  <si>
    <t>Documentación de hallazgos comparativos</t>
  </si>
  <si>
    <t>Documentación y Cierre del Sprint 3</t>
  </si>
  <si>
    <t>3.4.1</t>
  </si>
  <si>
    <t>3.4.2</t>
  </si>
  <si>
    <t>3.4.3</t>
  </si>
  <si>
    <t>Implementación de Modelos de Clustering - Fase 2 y Validación</t>
  </si>
  <si>
    <t>Implementación de DBSCAN</t>
  </si>
  <si>
    <t>4.1.1</t>
  </si>
  <si>
    <t>Configuración de parámetros eps y min_samples</t>
  </si>
  <si>
    <t>4.1.2</t>
  </si>
  <si>
    <t>Entrenamiento del modelo DBSCAN</t>
  </si>
  <si>
    <t>4.1.3</t>
  </si>
  <si>
    <t>Visualización de resultados DBSCAN</t>
  </si>
  <si>
    <t>Validación Exhaustiva de Modelos</t>
  </si>
  <si>
    <t>4.2.1</t>
  </si>
  <si>
    <t>Cálculo de Silhouette Score por modelo</t>
  </si>
  <si>
    <t>4.2.2</t>
  </si>
  <si>
    <t>Cálculo de Davies-Bouldin Index</t>
  </si>
  <si>
    <t>4.2.3</t>
  </si>
  <si>
    <t>Cálculo de Calinski-Harabasz Score</t>
  </si>
  <si>
    <t>Selección del Modelo Óptimo</t>
  </si>
  <si>
    <t>4.3.1</t>
  </si>
  <si>
    <t>Matriz de decisión de modelos</t>
  </si>
  <si>
    <t>4.3.2</t>
  </si>
  <si>
    <t>Validación cualitativa con equipo</t>
  </si>
  <si>
    <t>4.3.3</t>
  </si>
  <si>
    <t>Documentación de justificación</t>
  </si>
  <si>
    <t>Documentación y Cierre del Sprint 4 (Hito 2)</t>
  </si>
  <si>
    <t>4.4.1</t>
  </si>
  <si>
    <t>Consolidar hallazgos de modelado</t>
  </si>
  <si>
    <t>4.4.2</t>
  </si>
  <si>
    <t>Preparar presentación para profesor</t>
  </si>
  <si>
    <t>4.4.3</t>
  </si>
  <si>
    <t>4.4.4</t>
  </si>
  <si>
    <t>Reunión de revisión Hito 2</t>
  </si>
  <si>
    <t>4.4.5</t>
  </si>
  <si>
    <t>Planificación preliminar del Sprint 5</t>
  </si>
  <si>
    <t>Perfiles Detallados de Segmentos y Sizing</t>
  </si>
  <si>
    <t>Caracterización Demográfica por Segmento</t>
  </si>
  <si>
    <t>5.1.1</t>
  </si>
  <si>
    <t>Distribución de edad por segmento</t>
  </si>
  <si>
    <t>5.1.2</t>
  </si>
  <si>
    <t>Distribución de género por segmento</t>
  </si>
  <si>
    <t>5.1.3</t>
  </si>
  <si>
    <t>Nivel de ingresos por segmento</t>
  </si>
  <si>
    <t>Caracterización de Comportamiento de Compra</t>
  </si>
  <si>
    <t>5.2.1</t>
  </si>
  <si>
    <t>Spending Score por segmento</t>
  </si>
  <si>
    <t>5.2.2</t>
  </si>
  <si>
    <t>Patrones de compra identificados</t>
  </si>
  <si>
    <t>5.2.3</t>
  </si>
  <si>
    <t>Segmentación cruzada</t>
  </si>
  <si>
    <t>Sizing y Dimensionamiento de Mercado</t>
  </si>
  <si>
    <t>5.3.1</t>
  </si>
  <si>
    <t>Tamaño absoluto por segmento</t>
  </si>
  <si>
    <t>5.3.2</t>
  </si>
  <si>
    <t>Estimación de valor potencial</t>
  </si>
  <si>
    <t>5.3.3</t>
  </si>
  <si>
    <t>Priorización de segmentos</t>
  </si>
  <si>
    <t>Creación de Personas por Segmento</t>
  </si>
  <si>
    <t>5.4.1</t>
  </si>
  <si>
    <t>Definición de nombre y descripción</t>
  </si>
  <si>
    <t>5.4.2</t>
  </si>
  <si>
    <t>Características clave resumidas</t>
  </si>
  <si>
    <t>5.4.3</t>
  </si>
  <si>
    <t>Visualización de personas</t>
  </si>
  <si>
    <t>Documentación y Cierre del Sprint 5 (Hito 3)</t>
  </si>
  <si>
    <t>5.5.1</t>
  </si>
  <si>
    <t>Consolidar hallazgos de caracterización</t>
  </si>
  <si>
    <t>5.5.2</t>
  </si>
  <si>
    <t>5.5.3</t>
  </si>
  <si>
    <t>5.5.4</t>
  </si>
  <si>
    <t>Reunión de revisión Hito 3</t>
  </si>
  <si>
    <t>5.5.5</t>
  </si>
  <si>
    <t>Planificación preliminar del Sprint 6</t>
  </si>
  <si>
    <t>Documento Integrador, Presentación Ejecutiva y Cierre de Proyecto</t>
  </si>
  <si>
    <t>Síntesis Metodológica y Hallazgos del Proyecto</t>
  </si>
  <si>
    <t>6.1.1</t>
  </si>
  <si>
    <t>Síntesis metodológica PM4R aplicada</t>
  </si>
  <si>
    <t>6.1.2</t>
  </si>
  <si>
    <t>Hallazgos y recomendaciones estratégicas</t>
  </si>
  <si>
    <t>6.1.3</t>
  </si>
  <si>
    <t>Visualización de segmentos y propuestas de valor de grupo</t>
  </si>
  <si>
    <t>Documentación Técnica Integradora</t>
  </si>
  <si>
    <t>6.2.1</t>
  </si>
  <si>
    <t>Documento integrador y cierre de proyecto</t>
  </si>
  <si>
    <t>6.2.2</t>
  </si>
  <si>
    <t>Reporte final consolidado</t>
  </si>
  <si>
    <t>6.2.3</t>
  </si>
  <si>
    <t>Lecciones aprendidas del proyecto</t>
  </si>
  <si>
    <t>Informes Ejecutivos de Resultados</t>
  </si>
  <si>
    <t>6.3.1</t>
  </si>
  <si>
    <t>Informe ejecutivo de resultados</t>
  </si>
  <si>
    <t>6.3.2</t>
  </si>
  <si>
    <t>Reporte final consolidado para ITC</t>
  </si>
  <si>
    <t>Materiales de Presentación y Comunicación</t>
  </si>
  <si>
    <t>6.4.1</t>
  </si>
  <si>
    <t>Deck de comunicación a stakeholders</t>
  </si>
  <si>
    <t>6.4.2</t>
  </si>
  <si>
    <t>Inclusión de logotipo institucional ITC</t>
  </si>
  <si>
    <t>Cierre Formal del Proyecto</t>
  </si>
  <si>
    <t>6.5.1</t>
  </si>
  <si>
    <t>Depositar artefactos en repositorio institucional</t>
  </si>
  <si>
    <t>6.5.2</t>
  </si>
  <si>
    <t>Liberación de recursos del proyecto</t>
  </si>
  <si>
    <t>6.5.3</t>
  </si>
  <si>
    <t>Presentación final al profesor</t>
  </si>
  <si>
    <t>6.5.4</t>
  </si>
  <si>
    <t>Celebración y reconocimiento del equipo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</si>
</sst>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8" formatCode="&quot;$&quot;#,##0.00;[Red]\-&quot;$&quot;#,##0.00"/>
    <numFmt numFmtId="44" formatCode="_-&quot;$&quot;* #,##0.00_-;\-&quot;$&quot;* #,##0.00_-;_-&quot;$&quot;* &quot;-&quot;??_-;_-@_-"/>
    <numFmt numFmtId="164" formatCode="_(* #,##0.00_);_(* \(#,##0.00\);_(* &quot;-&quot;??_);_(@_)"/>
  </numFmts>
  <fonts count="13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0"/>
      <name val="Calibri"/>
      <family val="2"/>
      <scheme val="minor"/>
    </font>
    <font>
      <b/>
      <sz val="16"/>
      <color theme="0"/>
      <name val="Calibri"/>
      <family val="2"/>
      <scheme val="minor"/>
    </font>
    <font>
      <sz val="11"/>
      <color theme="1"/>
      <name val="Corbel"/>
      <family val="2"/>
    </font>
    <font>
      <b/>
      <sz val="16"/>
      <color theme="1"/>
      <name val="Corbel"/>
      <family val="2"/>
    </font>
    <font>
      <b/>
      <sz val="12"/>
      <color theme="0"/>
      <name val="Corbel"/>
      <family val="2"/>
    </font>
    <font>
      <sz val="11"/>
      <color theme="0"/>
      <name val="Corbel"/>
      <family val="2"/>
    </font>
    <font>
      <b/>
      <sz val="11"/>
      <color theme="0"/>
      <name val="Corbel"/>
      <family val="2"/>
    </font>
    <font>
      <b/>
      <sz val="10"/>
      <color theme="0"/>
      <name val="Corbel"/>
      <family val="2"/>
    </font>
    <font>
      <sz val="10"/>
      <color theme="1"/>
      <name val="Corbel"/>
      <family val="2"/>
    </font>
    <font>
      <sz val="8"/>
      <name val="Calibri"/>
      <family val="2"/>
      <scheme val="minor"/>
    </font>
    <font>
      <b/>
      <sz val="11"/>
      <color theme="1"/>
      <name val="Corbel"/>
      <family val="2"/>
    </font>
  </fonts>
  <fills count="8">
    <fill>
      <patternFill patternType="none"/>
    </fill>
    <fill>
      <patternFill patternType="gray125"/>
    </fill>
    <fill>
      <patternFill patternType="solid">
        <fgColor theme="1"/>
        <bgColor indexed="64"/>
      </patternFill>
    </fill>
    <fill>
      <patternFill patternType="solid">
        <fgColor rgb="FF00376C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005073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4" tint="0.39997558519241921"/>
        <bgColor indexed="64"/>
      </patternFill>
    </fill>
  </fills>
  <borders count="21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double">
        <color auto="1"/>
      </left>
      <right/>
      <top style="double">
        <color auto="1"/>
      </top>
      <bottom/>
      <diagonal/>
    </border>
    <border>
      <left/>
      <right/>
      <top style="double">
        <color auto="1"/>
      </top>
      <bottom/>
      <diagonal/>
    </border>
    <border>
      <left/>
      <right style="double">
        <color auto="1"/>
      </right>
      <top style="double">
        <color auto="1"/>
      </top>
      <bottom/>
      <diagonal/>
    </border>
    <border>
      <left style="double">
        <color auto="1"/>
      </left>
      <right/>
      <top/>
      <bottom/>
      <diagonal/>
    </border>
    <border>
      <left/>
      <right style="double">
        <color auto="1"/>
      </right>
      <top/>
      <bottom/>
      <diagonal/>
    </border>
    <border>
      <left style="double">
        <color auto="1"/>
      </left>
      <right/>
      <top/>
      <bottom style="double">
        <color auto="1"/>
      </bottom>
      <diagonal/>
    </border>
    <border>
      <left/>
      <right/>
      <top/>
      <bottom style="double">
        <color auto="1"/>
      </bottom>
      <diagonal/>
    </border>
    <border>
      <left/>
      <right style="double">
        <color auto="1"/>
      </right>
      <top/>
      <bottom style="double">
        <color auto="1"/>
      </bottom>
      <diagonal/>
    </border>
    <border>
      <left style="thin">
        <color indexed="64"/>
      </left>
      <right style="double">
        <color auto="1"/>
      </right>
      <top style="thin">
        <color indexed="64"/>
      </top>
      <bottom style="thin">
        <color indexed="64"/>
      </bottom>
      <diagonal/>
    </border>
    <border>
      <left/>
      <right style="double">
        <color auto="1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theme="1" tint="0.499984740745262"/>
      </bottom>
      <diagonal/>
    </border>
    <border>
      <left style="thin">
        <color theme="1" tint="0.499984740745262"/>
      </left>
      <right style="thin">
        <color theme="1" tint="0.499984740745262"/>
      </right>
      <top style="thin">
        <color theme="1" tint="0.499984740745262"/>
      </top>
      <bottom style="thin">
        <color theme="1" tint="0.499984740745262"/>
      </bottom>
      <diagonal/>
    </border>
    <border>
      <left style="thin">
        <color theme="1" tint="0.499984740745262"/>
      </left>
      <right/>
      <top style="thin">
        <color theme="1" tint="0.499984740745262"/>
      </top>
      <bottom style="thin">
        <color theme="1" tint="0.499984740745262"/>
      </bottom>
      <diagonal/>
    </border>
    <border>
      <left/>
      <right style="thin">
        <color theme="1" tint="0.499984740745262"/>
      </right>
      <top style="thin">
        <color theme="1" tint="0.499984740745262"/>
      </top>
      <bottom style="thin">
        <color theme="1" tint="0.499984740745262"/>
      </bottom>
      <diagonal/>
    </border>
    <border>
      <left style="thin">
        <color theme="1" tint="0.499984740745262"/>
      </left>
      <right style="thin">
        <color theme="1" tint="0.499984740745262"/>
      </right>
      <top style="thin">
        <color theme="1" tint="0.499984740745262"/>
      </top>
      <bottom/>
      <diagonal/>
    </border>
    <border>
      <left style="thin">
        <color theme="1" tint="0.499984740745262"/>
      </left>
      <right style="thin">
        <color theme="1" tint="0.499984740745262"/>
      </right>
      <top/>
      <bottom style="thin">
        <color theme="1" tint="0.499984740745262"/>
      </bottom>
      <diagonal/>
    </border>
  </borders>
  <cellStyleXfs count="4">
    <xf numFmtId="0" fontId="0" fillId="0" borderId="0"/>
    <xf numFmtId="44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164" fontId="1" fillId="0" borderId="0" applyFont="0" applyFill="0" applyBorder="0" applyAlignment="0" applyProtection="0"/>
  </cellStyleXfs>
  <cellXfs count="82">
    <xf numFmtId="0" fontId="0" fillId="0" borderId="0" xfId="0"/>
    <xf numFmtId="44" fontId="0" fillId="0" borderId="1" xfId="1" applyFont="1" applyBorder="1"/>
    <xf numFmtId="0" fontId="0" fillId="0" borderId="5" xfId="0" applyBorder="1"/>
    <xf numFmtId="0" fontId="0" fillId="0" borderId="6" xfId="0" applyBorder="1"/>
    <xf numFmtId="0" fontId="0" fillId="0" borderId="7" xfId="0" applyBorder="1"/>
    <xf numFmtId="0" fontId="0" fillId="0" borderId="8" xfId="0" applyBorder="1"/>
    <xf numFmtId="0" fontId="0" fillId="0" borderId="9" xfId="0" applyBorder="1"/>
    <xf numFmtId="0" fontId="0" fillId="0" borderId="0" xfId="0" applyAlignment="1">
      <alignment wrapText="1"/>
    </xf>
    <xf numFmtId="0" fontId="0" fillId="0" borderId="10" xfId="0" applyBorder="1"/>
    <xf numFmtId="0" fontId="0" fillId="0" borderId="11" xfId="0" applyBorder="1"/>
    <xf numFmtId="0" fontId="0" fillId="0" borderId="12" xfId="0" applyBorder="1"/>
    <xf numFmtId="0" fontId="0" fillId="0" borderId="0" xfId="0" applyAlignment="1">
      <alignment horizontal="left"/>
    </xf>
    <xf numFmtId="0" fontId="2" fillId="0" borderId="0" xfId="0" applyFont="1" applyAlignment="1">
      <alignment horizontal="right"/>
    </xf>
    <xf numFmtId="0" fontId="0" fillId="0" borderId="0" xfId="0" applyAlignment="1">
      <alignment vertical="center"/>
    </xf>
    <xf numFmtId="9" fontId="0" fillId="0" borderId="0" xfId="2" applyFont="1" applyBorder="1" applyAlignment="1">
      <alignment vertical="center"/>
    </xf>
    <xf numFmtId="0" fontId="0" fillId="0" borderId="9" xfId="0" applyBorder="1" applyAlignment="1">
      <alignment horizontal="left"/>
    </xf>
    <xf numFmtId="44" fontId="0" fillId="0" borderId="13" xfId="1" applyFont="1" applyBorder="1"/>
    <xf numFmtId="44" fontId="0" fillId="0" borderId="1" xfId="1" applyFont="1" applyBorder="1" applyAlignment="1"/>
    <xf numFmtId="0" fontId="0" fillId="0" borderId="2" xfId="0" applyBorder="1"/>
    <xf numFmtId="0" fontId="0" fillId="0" borderId="3" xfId="0" applyBorder="1"/>
    <xf numFmtId="0" fontId="0" fillId="0" borderId="14" xfId="0" applyBorder="1"/>
    <xf numFmtId="0" fontId="2" fillId="3" borderId="1" xfId="0" applyFont="1" applyFill="1" applyBorder="1" applyAlignment="1">
      <alignment horizontal="right"/>
    </xf>
    <xf numFmtId="0" fontId="0" fillId="3" borderId="1" xfId="0" applyFill="1" applyBorder="1"/>
    <xf numFmtId="0" fontId="2" fillId="3" borderId="1" xfId="0" applyFont="1" applyFill="1" applyBorder="1"/>
    <xf numFmtId="0" fontId="2" fillId="3" borderId="1" xfId="0" applyFont="1" applyFill="1" applyBorder="1" applyAlignment="1">
      <alignment horizontal="center"/>
    </xf>
    <xf numFmtId="0" fontId="0" fillId="4" borderId="0" xfId="0" applyFill="1"/>
    <xf numFmtId="0" fontId="4" fillId="4" borderId="0" xfId="0" applyFont="1" applyFill="1" applyProtection="1">
      <protection locked="0"/>
    </xf>
    <xf numFmtId="0" fontId="5" fillId="4" borderId="0" xfId="0" applyFont="1" applyFill="1" applyProtection="1">
      <protection locked="0"/>
    </xf>
    <xf numFmtId="14" fontId="7" fillId="5" borderId="0" xfId="0" applyNumberFormat="1" applyFont="1" applyFill="1" applyAlignment="1" applyProtection="1">
      <alignment vertical="center"/>
      <protection locked="0"/>
    </xf>
    <xf numFmtId="0" fontId="8" fillId="5" borderId="0" xfId="0" applyFont="1" applyFill="1" applyAlignment="1" applyProtection="1">
      <alignment horizontal="center" vertical="top"/>
      <protection locked="0"/>
    </xf>
    <xf numFmtId="0" fontId="10" fillId="0" borderId="16" xfId="0" applyFont="1" applyBorder="1" applyAlignment="1" applyProtection="1">
      <alignment horizontal="left" vertical="center"/>
      <protection locked="0"/>
    </xf>
    <xf numFmtId="0" fontId="10" fillId="0" borderId="16" xfId="0" applyFont="1" applyBorder="1" applyAlignment="1" applyProtection="1">
      <alignment vertical="top"/>
      <protection locked="0"/>
    </xf>
    <xf numFmtId="0" fontId="8" fillId="5" borderId="15" xfId="0" applyFont="1" applyFill="1" applyBorder="1" applyAlignment="1" applyProtection="1">
      <alignment horizontal="center" vertical="top"/>
      <protection locked="0"/>
    </xf>
    <xf numFmtId="0" fontId="9" fillId="5" borderId="16" xfId="3" applyNumberFormat="1" applyFont="1" applyFill="1" applyBorder="1" applyAlignment="1" applyProtection="1">
      <alignment horizontal="center" vertical="top"/>
      <protection locked="0"/>
    </xf>
    <xf numFmtId="0" fontId="12" fillId="6" borderId="0" xfId="0" applyFont="1" applyFill="1" applyAlignment="1" applyProtection="1">
      <alignment horizontal="center"/>
      <protection locked="0"/>
    </xf>
    <xf numFmtId="0" fontId="10" fillId="0" borderId="17" xfId="0" applyFont="1" applyBorder="1" applyAlignment="1" applyProtection="1">
      <alignment vertical="top"/>
      <protection locked="0"/>
    </xf>
    <xf numFmtId="164" fontId="4" fillId="6" borderId="1" xfId="3" applyFont="1" applyFill="1" applyBorder="1" applyProtection="1">
      <protection locked="0"/>
    </xf>
    <xf numFmtId="44" fontId="10" fillId="0" borderId="16" xfId="1" applyFont="1" applyBorder="1" applyAlignment="1" applyProtection="1">
      <alignment horizontal="center" vertical="top"/>
      <protection locked="0"/>
    </xf>
    <xf numFmtId="44" fontId="10" fillId="0" borderId="16" xfId="1" applyFont="1" applyBorder="1" applyAlignment="1" applyProtection="1">
      <alignment horizontal="center" vertical="top" wrapText="1"/>
      <protection locked="0"/>
    </xf>
    <xf numFmtId="44" fontId="10" fillId="0" borderId="16" xfId="1" applyFont="1" applyBorder="1" applyAlignment="1" applyProtection="1">
      <alignment vertical="top"/>
      <protection locked="0"/>
    </xf>
    <xf numFmtId="44" fontId="9" fillId="5" borderId="16" xfId="1" applyFont="1" applyFill="1" applyBorder="1" applyAlignment="1" applyProtection="1">
      <alignment vertical="top"/>
      <protection locked="0"/>
    </xf>
    <xf numFmtId="44" fontId="9" fillId="5" borderId="16" xfId="1" applyFont="1" applyFill="1" applyBorder="1" applyAlignment="1" applyProtection="1">
      <alignment horizontal="right" vertical="top"/>
      <protection locked="0"/>
    </xf>
    <xf numFmtId="0" fontId="10" fillId="7" borderId="16" xfId="0" applyFont="1" applyFill="1" applyBorder="1" applyAlignment="1" applyProtection="1">
      <alignment horizontal="left" vertical="center"/>
      <protection locked="0"/>
    </xf>
    <xf numFmtId="0" fontId="10" fillId="7" borderId="16" xfId="0" applyFont="1" applyFill="1" applyBorder="1" applyAlignment="1" applyProtection="1">
      <alignment vertical="top"/>
      <protection locked="0"/>
    </xf>
    <xf numFmtId="44" fontId="10" fillId="7" borderId="16" xfId="1" applyFont="1" applyFill="1" applyBorder="1" applyAlignment="1" applyProtection="1">
      <alignment horizontal="center" vertical="top"/>
      <protection locked="0"/>
    </xf>
    <xf numFmtId="44" fontId="10" fillId="7" borderId="16" xfId="1" applyFont="1" applyFill="1" applyBorder="1" applyAlignment="1" applyProtection="1">
      <alignment horizontal="center" vertical="top" wrapText="1"/>
      <protection locked="0"/>
    </xf>
    <xf numFmtId="44" fontId="10" fillId="7" borderId="16" xfId="1" applyFont="1" applyFill="1" applyBorder="1" applyAlignment="1" applyProtection="1">
      <alignment vertical="top"/>
      <protection locked="0"/>
    </xf>
    <xf numFmtId="0" fontId="4" fillId="7" borderId="0" xfId="0" applyFont="1" applyFill="1" applyProtection="1">
      <protection locked="0"/>
    </xf>
    <xf numFmtId="0" fontId="4" fillId="0" borderId="0" xfId="0" applyFont="1" applyProtection="1">
      <protection locked="0"/>
    </xf>
    <xf numFmtId="44" fontId="10" fillId="0" borderId="16" xfId="1" applyFont="1" applyFill="1" applyBorder="1" applyAlignment="1" applyProtection="1">
      <alignment horizontal="center" vertical="top"/>
      <protection locked="0"/>
    </xf>
    <xf numFmtId="44" fontId="10" fillId="0" borderId="16" xfId="1" applyFont="1" applyFill="1" applyBorder="1" applyAlignment="1" applyProtection="1">
      <alignment horizontal="center" vertical="top" wrapText="1"/>
      <protection locked="0"/>
    </xf>
    <xf numFmtId="44" fontId="10" fillId="0" borderId="16" xfId="1" applyFont="1" applyFill="1" applyBorder="1" applyAlignment="1" applyProtection="1">
      <alignment vertical="top"/>
      <protection locked="0"/>
    </xf>
    <xf numFmtId="44" fontId="10" fillId="0" borderId="18" xfId="1" applyFont="1" applyBorder="1" applyAlignment="1" applyProtection="1">
      <alignment horizontal="center" vertical="top"/>
      <protection locked="0"/>
    </xf>
    <xf numFmtId="44" fontId="10" fillId="0" borderId="19" xfId="1" applyFont="1" applyBorder="1" applyAlignment="1" applyProtection="1">
      <alignment horizontal="center" vertical="top"/>
      <protection locked="0"/>
    </xf>
    <xf numFmtId="44" fontId="10" fillId="0" borderId="20" xfId="1" applyFont="1" applyFill="1" applyBorder="1" applyAlignment="1" applyProtection="1">
      <alignment horizontal="center" vertical="top"/>
      <protection locked="0"/>
    </xf>
    <xf numFmtId="0" fontId="4" fillId="4" borderId="1" xfId="0" applyFont="1" applyFill="1" applyBorder="1" applyProtection="1">
      <protection locked="0"/>
    </xf>
    <xf numFmtId="8" fontId="10" fillId="0" borderId="16" xfId="1" applyNumberFormat="1" applyFont="1" applyFill="1" applyBorder="1" applyAlignment="1" applyProtection="1">
      <alignment vertical="top"/>
      <protection locked="0"/>
    </xf>
    <xf numFmtId="8" fontId="10" fillId="7" borderId="16" xfId="1" applyNumberFormat="1" applyFont="1" applyFill="1" applyBorder="1" applyAlignment="1" applyProtection="1">
      <alignment vertical="top"/>
      <protection locked="0"/>
    </xf>
    <xf numFmtId="44" fontId="10" fillId="5" borderId="16" xfId="1" applyFont="1" applyFill="1" applyBorder="1" applyAlignment="1" applyProtection="1">
      <alignment horizontal="center" vertical="top"/>
      <protection locked="0"/>
    </xf>
    <xf numFmtId="44" fontId="10" fillId="5" borderId="16" xfId="1" applyFont="1" applyFill="1" applyBorder="1" applyAlignment="1" applyProtection="1">
      <alignment horizontal="center" vertical="top" wrapText="1"/>
      <protection locked="0"/>
    </xf>
    <xf numFmtId="44" fontId="10" fillId="5" borderId="16" xfId="1" applyFont="1" applyFill="1" applyBorder="1" applyAlignment="1" applyProtection="1">
      <alignment vertical="top"/>
      <protection locked="0"/>
    </xf>
    <xf numFmtId="8" fontId="10" fillId="0" borderId="16" xfId="1" applyNumberFormat="1" applyFont="1" applyBorder="1" applyAlignment="1" applyProtection="1">
      <alignment vertical="top"/>
      <protection locked="0"/>
    </xf>
    <xf numFmtId="0" fontId="2" fillId="3" borderId="1" xfId="0" applyFont="1" applyFill="1" applyBorder="1" applyAlignment="1">
      <alignment horizontal="center"/>
    </xf>
    <xf numFmtId="0" fontId="2" fillId="3" borderId="13" xfId="0" applyFont="1" applyFill="1" applyBorder="1" applyAlignment="1">
      <alignment horizontal="center"/>
    </xf>
    <xf numFmtId="0" fontId="3" fillId="2" borderId="0" xfId="0" applyFont="1" applyFill="1" applyAlignment="1">
      <alignment horizontal="center"/>
    </xf>
    <xf numFmtId="0" fontId="3" fillId="2" borderId="9" xfId="0" applyFont="1" applyFill="1" applyBorder="1" applyAlignment="1">
      <alignment horizontal="center"/>
    </xf>
    <xf numFmtId="0" fontId="0" fillId="0" borderId="2" xfId="0" applyBorder="1" applyAlignment="1">
      <alignment horizontal="left"/>
    </xf>
    <xf numFmtId="0" fontId="0" fillId="0" borderId="3" xfId="0" applyBorder="1" applyAlignment="1">
      <alignment horizontal="left"/>
    </xf>
    <xf numFmtId="0" fontId="0" fillId="0" borderId="14" xfId="0" applyBorder="1" applyAlignment="1">
      <alignment horizontal="left"/>
    </xf>
    <xf numFmtId="14" fontId="0" fillId="0" borderId="2" xfId="0" applyNumberFormat="1" applyBorder="1" applyAlignment="1">
      <alignment horizontal="left"/>
    </xf>
    <xf numFmtId="14" fontId="0" fillId="0" borderId="4" xfId="0" applyNumberFormat="1" applyBorder="1" applyAlignment="1">
      <alignment horizontal="left"/>
    </xf>
    <xf numFmtId="0" fontId="2" fillId="3" borderId="2" xfId="0" applyFont="1" applyFill="1" applyBorder="1" applyAlignment="1">
      <alignment horizontal="right"/>
    </xf>
    <xf numFmtId="0" fontId="2" fillId="3" borderId="4" xfId="0" applyFont="1" applyFill="1" applyBorder="1" applyAlignment="1">
      <alignment horizontal="right"/>
    </xf>
    <xf numFmtId="15" fontId="0" fillId="0" borderId="2" xfId="0" applyNumberFormat="1" applyBorder="1" applyAlignment="1">
      <alignment horizontal="left"/>
    </xf>
    <xf numFmtId="0" fontId="0" fillId="0" borderId="4" xfId="0" applyBorder="1" applyAlignment="1">
      <alignment horizontal="left"/>
    </xf>
    <xf numFmtId="14" fontId="0" fillId="0" borderId="3" xfId="0" applyNumberFormat="1" applyBorder="1" applyAlignment="1">
      <alignment horizontal="left"/>
    </xf>
    <xf numFmtId="14" fontId="0" fillId="0" borderId="14" xfId="0" applyNumberFormat="1" applyBorder="1" applyAlignment="1">
      <alignment horizontal="left"/>
    </xf>
    <xf numFmtId="0" fontId="9" fillId="5" borderId="17" xfId="0" applyFont="1" applyFill="1" applyBorder="1" applyAlignment="1" applyProtection="1">
      <alignment horizontal="center" vertical="center"/>
      <protection locked="0"/>
    </xf>
    <xf numFmtId="0" fontId="9" fillId="5" borderId="18" xfId="0" applyFont="1" applyFill="1" applyBorder="1" applyAlignment="1" applyProtection="1">
      <alignment horizontal="center" vertical="center"/>
      <protection locked="0"/>
    </xf>
    <xf numFmtId="0" fontId="6" fillId="5" borderId="0" xfId="0" applyFont="1" applyFill="1" applyAlignment="1" applyProtection="1">
      <alignment horizontal="center" vertical="center"/>
      <protection locked="0"/>
    </xf>
    <xf numFmtId="0" fontId="9" fillId="5" borderId="17" xfId="0" applyFont="1" applyFill="1" applyBorder="1" applyAlignment="1" applyProtection="1">
      <alignment horizontal="right" vertical="center"/>
      <protection locked="0"/>
    </xf>
    <xf numFmtId="0" fontId="9" fillId="5" borderId="18" xfId="0" applyFont="1" applyFill="1" applyBorder="1" applyAlignment="1" applyProtection="1">
      <alignment horizontal="right" vertical="center"/>
      <protection locked="0"/>
    </xf>
  </cellXfs>
  <cellStyles count="4">
    <cellStyle name="Millares" xfId="3" builtinId="3"/>
    <cellStyle name="Moneda" xfId="1" builtinId="4"/>
    <cellStyle name="Normal" xfId="0" builtinId="0"/>
    <cellStyle name="Porcentaje" xfId="2" builtinId="5"/>
  </cellStyles>
  <dxfs count="0"/>
  <tableStyles count="0" defaultTableStyle="TableStyleMedium2" defaultPivotStyle="PivotStyleLight16"/>
  <colors>
    <mruColors>
      <color rgb="FF005073"/>
      <color rgb="FF00376C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>
        <c:manualLayout>
          <c:layoutTarget val="inner"/>
          <c:xMode val="edge"/>
          <c:yMode val="edge"/>
          <c:x val="8.7569208778480151E-2"/>
          <c:y val="1.706998513297726E-2"/>
          <c:w val="0.70602619742954664"/>
          <c:h val="0.89886944551511483"/>
        </c:manualLayout>
      </c:layout>
      <c:lineChart>
        <c:grouping val="standard"/>
        <c:varyColors val="0"/>
        <c:ser>
          <c:idx val="1"/>
          <c:order val="0"/>
          <c:tx>
            <c:strRef>
              <c:f>'Plantilla Curva S'!$C$16</c:f>
              <c:strCache>
                <c:ptCount val="1"/>
                <c:pt idx="0">
                  <c:v>Valor Planificado Acumulado</c:v>
                </c:pt>
              </c:strCache>
            </c:strRef>
          </c:tx>
          <c:marker>
            <c:symbol val="none"/>
          </c:marker>
          <c:cat>
            <c:numRef>
              <c:f>'Plantilla Curva S'!$D$14:$O$14</c:f>
              <c:numCache>
                <c:formatCode>General</c:formatCode>
                <c:ptCount val="12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</c:numCache>
            </c:numRef>
          </c:cat>
          <c:val>
            <c:numRef>
              <c:f>'Plantilla Curva S'!$D$16:$O$16</c:f>
              <c:numCache>
                <c:formatCode>_("$"* #,##0.00_);_("$"* \(#,##0.00\);_("$"* "-"??_);_(@_)</c:formatCode>
                <c:ptCount val="12"/>
                <c:pt idx="0">
                  <c:v>11500</c:v>
                </c:pt>
                <c:pt idx="1">
                  <c:v>30000</c:v>
                </c:pt>
                <c:pt idx="2">
                  <c:v>44000</c:v>
                </c:pt>
                <c:pt idx="3">
                  <c:v>75000</c:v>
                </c:pt>
                <c:pt idx="4">
                  <c:v>108000</c:v>
                </c:pt>
                <c:pt idx="5">
                  <c:v>150000</c:v>
                </c:pt>
                <c:pt idx="6">
                  <c:v>186000</c:v>
                </c:pt>
                <c:pt idx="7">
                  <c:v>225000</c:v>
                </c:pt>
                <c:pt idx="8">
                  <c:v>245000</c:v>
                </c:pt>
                <c:pt idx="9">
                  <c:v>270000</c:v>
                </c:pt>
                <c:pt idx="10">
                  <c:v>281000</c:v>
                </c:pt>
                <c:pt idx="11">
                  <c:v>300000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286E-4092-A810-F1B32C16C439}"/>
            </c:ext>
          </c:extLst>
        </c:ser>
        <c:ser>
          <c:idx val="3"/>
          <c:order val="1"/>
          <c:tx>
            <c:strRef>
              <c:f>'Plantilla Curva S'!$C$18</c:f>
              <c:strCache>
                <c:ptCount val="1"/>
                <c:pt idx="0">
                  <c:v>Costo Real Acumulado</c:v>
                </c:pt>
              </c:strCache>
            </c:strRef>
          </c:tx>
          <c:marker>
            <c:symbol val="none"/>
          </c:marker>
          <c:cat>
            <c:numRef>
              <c:f>'Plantilla Curva S'!$D$14:$O$14</c:f>
              <c:numCache>
                <c:formatCode>General</c:formatCode>
                <c:ptCount val="12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</c:numCache>
            </c:numRef>
          </c:cat>
          <c:val>
            <c:numRef>
              <c:f>'Plantilla Curva S'!$D$18:$O$18</c:f>
              <c:numCache>
                <c:formatCode>_("$"* #,##0.00_);_("$"* \(#,##0.00\);_("$"* "-"??_);_(@_)</c:formatCode>
                <c:ptCount val="12"/>
                <c:pt idx="0">
                  <c:v>8000</c:v>
                </c:pt>
                <c:pt idx="1">
                  <c:v>20000</c:v>
                </c:pt>
                <c:pt idx="2">
                  <c:v>30000</c:v>
                </c:pt>
                <c:pt idx="3">
                  <c:v>43000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286E-4092-A810-F1B32C16C43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93171456"/>
        <c:axId val="193172992"/>
      </c:lineChart>
      <c:catAx>
        <c:axId val="193171456"/>
        <c:scaling>
          <c:orientation val="minMax"/>
        </c:scaling>
        <c:delete val="0"/>
        <c:axPos val="b"/>
        <c:numFmt formatCode="General" sourceLinked="0"/>
        <c:majorTickMark val="out"/>
        <c:minorTickMark val="none"/>
        <c:tickLblPos val="nextTo"/>
        <c:crossAx val="193172992"/>
        <c:crosses val="autoZero"/>
        <c:auto val="1"/>
        <c:lblAlgn val="ctr"/>
        <c:lblOffset val="100"/>
        <c:noMultiLvlLbl val="0"/>
      </c:catAx>
      <c:valAx>
        <c:axId val="193172992"/>
        <c:scaling>
          <c:orientation val="minMax"/>
        </c:scaling>
        <c:delete val="0"/>
        <c:axPos val="l"/>
        <c:majorGridlines/>
        <c:numFmt formatCode="_(&quot;$&quot;* #,##0.00_);_(&quot;$&quot;* \(#,##0.00\);_(&quot;$&quot;* &quot;-&quot;??_);_(@_)" sourceLinked="1"/>
        <c:majorTickMark val="out"/>
        <c:minorTickMark val="none"/>
        <c:tickLblPos val="nextTo"/>
        <c:crossAx val="193171456"/>
        <c:crosses val="autoZero"/>
        <c:crossBetween val="between"/>
      </c:valAx>
    </c:plotArea>
    <c:legend>
      <c:legendPos val="r"/>
      <c:overlay val="0"/>
    </c:legend>
    <c:plotVisOnly val="1"/>
    <c:dispBlanksAs val="gap"/>
    <c:showDLblsOverMax val="0"/>
  </c:chart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2" Type="http://schemas.openxmlformats.org/officeDocument/2006/relationships/image" Target="../media/image1.PNG"/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388621</xdr:colOff>
      <xdr:row>0</xdr:row>
      <xdr:rowOff>0</xdr:rowOff>
    </xdr:from>
    <xdr:to>
      <xdr:col>1</xdr:col>
      <xdr:colOff>723901</xdr:colOff>
      <xdr:row>4</xdr:row>
      <xdr:rowOff>88027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00000000-0008-0000-0000-000003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388621" y="0"/>
          <a:ext cx="876300" cy="903367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746125</xdr:colOff>
      <xdr:row>18</xdr:row>
      <xdr:rowOff>142875</xdr:rowOff>
    </xdr:from>
    <xdr:to>
      <xdr:col>12</xdr:col>
      <xdr:colOff>206375</xdr:colOff>
      <xdr:row>42</xdr:row>
      <xdr:rowOff>111125</xdr:rowOff>
    </xdr:to>
    <xdr:graphicFrame macro="">
      <xdr:nvGraphicFramePr>
        <xdr:cNvPr id="4" name="3 Gráfico">
          <a:extLst>
            <a:ext uri="{FF2B5EF4-FFF2-40B4-BE49-F238E27FC236}">
              <a16:creationId xmlns:a16="http://schemas.microsoft.com/office/drawing/2014/main" id="{00000000-0008-0000-0100-000004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 editAs="oneCell">
    <xdr:from>
      <xdr:col>2</xdr:col>
      <xdr:colOff>304802</xdr:colOff>
      <xdr:row>1</xdr:row>
      <xdr:rowOff>67734</xdr:rowOff>
    </xdr:from>
    <xdr:to>
      <xdr:col>2</xdr:col>
      <xdr:colOff>1134533</xdr:colOff>
      <xdr:row>5</xdr:row>
      <xdr:rowOff>161013</xdr:rowOff>
    </xdr:to>
    <xdr:pic>
      <xdr:nvPicPr>
        <xdr:cNvPr id="5" name="Picture 4">
          <a:extLst>
            <a:ext uri="{FF2B5EF4-FFF2-40B4-BE49-F238E27FC236}">
              <a16:creationId xmlns:a16="http://schemas.microsoft.com/office/drawing/2014/main" id="{00000000-0008-0000-0100-000005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1320802" y="262467"/>
          <a:ext cx="829731" cy="846813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0B6F9A9-FCEB-47B1-AE78-CF1A36A7E64B}">
  <dimension ref="A3:IT137"/>
  <sheetViews>
    <sheetView topLeftCell="A21" zoomScale="67" zoomScaleNormal="100" workbookViewId="0">
      <pane xSplit="7" topLeftCell="H1" activePane="topRight" state="frozen"/>
      <selection pane="topRight" activeCell="V44" sqref="V44"/>
    </sheetView>
  </sheetViews>
  <sheetFormatPr baseColWidth="10" defaultColWidth="11.44140625" defaultRowHeight="14.4" x14ac:dyDescent="0.3"/>
  <cols>
    <col min="1" max="1" width="7.77734375" style="25" bestFit="1" customWidth="1"/>
    <col min="2" max="2" width="68.88671875" style="26" customWidth="1"/>
    <col min="3" max="3" width="13" style="26" customWidth="1"/>
    <col min="4" max="4" width="13.77734375" style="26" customWidth="1"/>
    <col min="5" max="5" width="11.6640625" style="26" customWidth="1"/>
    <col min="6" max="6" width="11.44140625" style="26" customWidth="1"/>
    <col min="7" max="7" width="11.77734375" style="26" customWidth="1"/>
    <col min="8" max="8" width="12.44140625" style="26" customWidth="1"/>
    <col min="9" max="14" width="10.44140625" style="26" customWidth="1"/>
    <col min="15" max="16384" width="11.44140625" style="26"/>
  </cols>
  <sheetData>
    <row r="3" spans="1:254" ht="21" x14ac:dyDescent="0.4">
      <c r="D3" s="27" t="s">
        <v>12</v>
      </c>
    </row>
    <row r="6" spans="1:254" ht="15.6" x14ac:dyDescent="0.3">
      <c r="A6" s="79" t="s">
        <v>54</v>
      </c>
      <c r="B6" s="79"/>
      <c r="C6" s="79"/>
      <c r="D6" s="79"/>
      <c r="E6" s="28"/>
      <c r="F6" s="28"/>
      <c r="G6" s="28"/>
      <c r="H6" s="28"/>
      <c r="I6" s="28"/>
      <c r="J6" s="28"/>
      <c r="K6" s="28"/>
      <c r="L6" s="28"/>
      <c r="M6" s="28"/>
      <c r="N6" s="28"/>
    </row>
    <row r="7" spans="1:254" x14ac:dyDescent="0.3">
      <c r="A7" s="32" t="s">
        <v>55</v>
      </c>
      <c r="B7" s="32" t="s">
        <v>13</v>
      </c>
      <c r="C7" s="29"/>
      <c r="D7" s="29"/>
      <c r="E7" s="29"/>
      <c r="F7" s="29"/>
      <c r="G7" s="29"/>
      <c r="H7" s="29"/>
      <c r="I7" s="29"/>
      <c r="J7" s="29"/>
      <c r="K7" s="29"/>
      <c r="L7" s="29"/>
      <c r="M7" s="29"/>
      <c r="N7" s="29"/>
    </row>
    <row r="8" spans="1:254" x14ac:dyDescent="0.3">
      <c r="A8" s="80" t="s">
        <v>15</v>
      </c>
      <c r="B8" s="81"/>
      <c r="C8" s="33">
        <v>1</v>
      </c>
      <c r="D8" s="33">
        <v>2</v>
      </c>
      <c r="E8" s="33">
        <v>3</v>
      </c>
      <c r="F8" s="33">
        <v>4</v>
      </c>
      <c r="G8" s="33">
        <v>5</v>
      </c>
      <c r="H8" s="33">
        <v>6</v>
      </c>
      <c r="I8" s="33">
        <v>7</v>
      </c>
      <c r="J8" s="33">
        <v>8</v>
      </c>
      <c r="K8" s="33">
        <v>9</v>
      </c>
      <c r="L8" s="33">
        <v>10</v>
      </c>
      <c r="M8" s="33">
        <v>11</v>
      </c>
      <c r="N8" s="33">
        <v>12</v>
      </c>
    </row>
    <row r="9" spans="1:254" x14ac:dyDescent="0.3">
      <c r="A9" s="77" t="s">
        <v>78</v>
      </c>
      <c r="B9" s="78"/>
      <c r="C9" s="33"/>
      <c r="D9" s="33"/>
      <c r="E9" s="33"/>
      <c r="F9" s="33"/>
      <c r="G9" s="33"/>
      <c r="H9" s="33"/>
      <c r="I9" s="33"/>
      <c r="J9" s="33"/>
      <c r="K9" s="33"/>
      <c r="L9" s="33"/>
      <c r="M9" s="33"/>
      <c r="N9" s="33"/>
    </row>
    <row r="10" spans="1:254" s="47" customFormat="1" x14ac:dyDescent="0.3">
      <c r="A10" s="42">
        <v>1.1000000000000001</v>
      </c>
      <c r="B10" s="43" t="s">
        <v>26</v>
      </c>
      <c r="C10" s="44">
        <v>0</v>
      </c>
      <c r="D10" s="45"/>
      <c r="E10" s="44"/>
      <c r="F10" s="46"/>
      <c r="G10" s="46"/>
      <c r="H10" s="46"/>
      <c r="I10" s="46"/>
      <c r="J10" s="46"/>
      <c r="K10" s="46"/>
      <c r="L10" s="46"/>
      <c r="M10" s="46"/>
      <c r="N10" s="46"/>
      <c r="O10" s="26"/>
      <c r="P10" s="26"/>
      <c r="Q10" s="26"/>
      <c r="R10" s="26"/>
      <c r="S10" s="26"/>
      <c r="T10" s="26"/>
      <c r="U10" s="26"/>
      <c r="V10" s="26"/>
      <c r="W10" s="26"/>
      <c r="X10" s="26"/>
      <c r="Y10" s="26"/>
      <c r="Z10" s="26"/>
      <c r="AA10" s="26"/>
      <c r="AB10" s="26"/>
      <c r="AC10" s="26"/>
      <c r="AD10" s="26"/>
      <c r="AE10" s="26"/>
      <c r="AF10" s="26"/>
      <c r="AG10" s="26"/>
      <c r="AH10" s="26"/>
      <c r="AI10" s="26"/>
      <c r="AJ10" s="26"/>
      <c r="AK10" s="26"/>
      <c r="AL10" s="26"/>
      <c r="AM10" s="26"/>
      <c r="AN10" s="26"/>
      <c r="AO10" s="26"/>
      <c r="AP10" s="26"/>
      <c r="AQ10" s="26"/>
      <c r="AR10" s="26"/>
      <c r="AS10" s="26"/>
      <c r="AT10" s="26"/>
      <c r="AU10" s="26"/>
      <c r="AV10" s="26"/>
      <c r="AW10" s="26"/>
      <c r="AX10" s="26"/>
      <c r="AY10" s="26"/>
      <c r="AZ10" s="26"/>
      <c r="BA10" s="26"/>
      <c r="BB10" s="26"/>
      <c r="BC10" s="26"/>
      <c r="BD10" s="26"/>
      <c r="BE10" s="26"/>
      <c r="BF10" s="26"/>
      <c r="BG10" s="26"/>
      <c r="BH10" s="26"/>
      <c r="BI10" s="26"/>
      <c r="BJ10" s="26"/>
      <c r="BK10" s="26"/>
      <c r="BL10" s="26"/>
      <c r="BM10" s="26"/>
      <c r="BN10" s="26"/>
      <c r="BO10" s="26"/>
      <c r="BP10" s="26"/>
      <c r="BQ10" s="26"/>
      <c r="BR10" s="26"/>
      <c r="BS10" s="26"/>
      <c r="BT10" s="26"/>
      <c r="BU10" s="26"/>
      <c r="BV10" s="26"/>
      <c r="BW10" s="26"/>
      <c r="BX10" s="26"/>
      <c r="BY10" s="26"/>
      <c r="BZ10" s="26"/>
      <c r="CA10" s="26"/>
      <c r="CB10" s="26"/>
      <c r="CC10" s="26"/>
      <c r="CD10" s="26"/>
      <c r="CE10" s="26"/>
      <c r="CF10" s="26"/>
      <c r="CG10" s="26"/>
      <c r="CH10" s="26"/>
      <c r="CI10" s="26"/>
      <c r="CJ10" s="26"/>
      <c r="CK10" s="26"/>
      <c r="CL10" s="26"/>
      <c r="CM10" s="26"/>
      <c r="CN10" s="26"/>
      <c r="CO10" s="26"/>
      <c r="CP10" s="26"/>
      <c r="CQ10" s="26"/>
      <c r="CR10" s="26"/>
      <c r="CS10" s="26"/>
      <c r="CT10" s="26"/>
      <c r="CU10" s="26"/>
      <c r="CV10" s="26"/>
      <c r="CW10" s="26"/>
      <c r="CX10" s="26"/>
      <c r="CY10" s="26"/>
      <c r="CZ10" s="26"/>
      <c r="DA10" s="26"/>
      <c r="DB10" s="26"/>
      <c r="DC10" s="26"/>
      <c r="DD10" s="26"/>
      <c r="DE10" s="26"/>
      <c r="DF10" s="26"/>
      <c r="DG10" s="26"/>
      <c r="DH10" s="26"/>
      <c r="DI10" s="26"/>
      <c r="DJ10" s="26"/>
      <c r="DK10" s="26"/>
      <c r="DL10" s="26"/>
      <c r="DM10" s="26"/>
      <c r="DN10" s="26"/>
      <c r="DO10" s="26"/>
      <c r="DP10" s="26"/>
      <c r="DQ10" s="26"/>
      <c r="DR10" s="26"/>
      <c r="DS10" s="26"/>
      <c r="DT10" s="26"/>
      <c r="DU10" s="26"/>
      <c r="DV10" s="26"/>
      <c r="DW10" s="26"/>
      <c r="DX10" s="26"/>
      <c r="DY10" s="26"/>
      <c r="DZ10" s="26"/>
      <c r="EA10" s="26"/>
      <c r="EB10" s="26"/>
      <c r="EC10" s="26"/>
      <c r="ED10" s="26"/>
      <c r="EE10" s="26"/>
      <c r="EF10" s="26"/>
      <c r="EG10" s="26"/>
      <c r="EH10" s="26"/>
      <c r="EI10" s="26"/>
      <c r="EJ10" s="26"/>
      <c r="EK10" s="26"/>
      <c r="EL10" s="26"/>
      <c r="EM10" s="26"/>
      <c r="EN10" s="26"/>
      <c r="EO10" s="26"/>
      <c r="EP10" s="26"/>
      <c r="EQ10" s="26"/>
      <c r="ER10" s="26"/>
      <c r="ES10" s="26"/>
      <c r="ET10" s="26"/>
      <c r="EU10" s="26"/>
      <c r="EV10" s="26"/>
      <c r="EW10" s="26"/>
      <c r="EX10" s="26"/>
      <c r="EY10" s="26"/>
      <c r="EZ10" s="26"/>
      <c r="FA10" s="26"/>
      <c r="FB10" s="26"/>
      <c r="FC10" s="26"/>
      <c r="FD10" s="26"/>
      <c r="FE10" s="26"/>
      <c r="FF10" s="26"/>
      <c r="FG10" s="26"/>
      <c r="FH10" s="26"/>
      <c r="FI10" s="26"/>
      <c r="FJ10" s="26"/>
      <c r="FK10" s="26"/>
      <c r="FL10" s="26"/>
      <c r="FM10" s="26"/>
      <c r="FN10" s="26"/>
      <c r="FO10" s="26"/>
      <c r="FP10" s="26"/>
      <c r="FQ10" s="26"/>
      <c r="FR10" s="26"/>
      <c r="FS10" s="26"/>
      <c r="FT10" s="26"/>
      <c r="FU10" s="26"/>
      <c r="FV10" s="26"/>
      <c r="FW10" s="26"/>
      <c r="FX10" s="26"/>
      <c r="FY10" s="26"/>
      <c r="FZ10" s="26"/>
      <c r="GA10" s="26"/>
      <c r="GB10" s="26"/>
      <c r="GC10" s="26"/>
      <c r="GD10" s="26"/>
      <c r="GE10" s="26"/>
      <c r="GF10" s="26"/>
      <c r="GG10" s="26"/>
      <c r="GH10" s="26"/>
      <c r="GI10" s="26"/>
      <c r="GJ10" s="26"/>
      <c r="GK10" s="26"/>
      <c r="GL10" s="26"/>
      <c r="GM10" s="26"/>
      <c r="GN10" s="26"/>
      <c r="GO10" s="26"/>
      <c r="GP10" s="26"/>
      <c r="GQ10" s="26"/>
      <c r="GR10" s="26"/>
      <c r="GS10" s="26"/>
      <c r="GT10" s="26"/>
      <c r="GU10" s="26"/>
      <c r="GV10" s="26"/>
      <c r="GW10" s="26"/>
      <c r="GX10" s="26"/>
      <c r="GY10" s="26"/>
      <c r="GZ10" s="26"/>
      <c r="HA10" s="26"/>
      <c r="HB10" s="26"/>
      <c r="HC10" s="26"/>
      <c r="HD10" s="26"/>
      <c r="HE10" s="26"/>
      <c r="HF10" s="26"/>
      <c r="HG10" s="26"/>
      <c r="HH10" s="26"/>
      <c r="HI10" s="26"/>
      <c r="HJ10" s="26"/>
      <c r="HK10" s="26"/>
      <c r="HL10" s="26"/>
      <c r="HM10" s="26"/>
      <c r="HN10" s="26"/>
      <c r="HO10" s="26"/>
      <c r="HP10" s="26"/>
      <c r="HQ10" s="26"/>
      <c r="HR10" s="26"/>
      <c r="HS10" s="26"/>
      <c r="HT10" s="26"/>
      <c r="HU10" s="26"/>
      <c r="HV10" s="26"/>
      <c r="HW10" s="26"/>
      <c r="HX10" s="26"/>
      <c r="HY10" s="26"/>
      <c r="HZ10" s="26"/>
      <c r="IA10" s="26"/>
      <c r="IB10" s="26"/>
      <c r="IC10" s="26"/>
      <c r="ID10" s="26"/>
      <c r="IE10" s="26"/>
      <c r="IF10" s="26"/>
      <c r="IG10" s="26"/>
      <c r="IH10" s="26"/>
      <c r="II10" s="26"/>
      <c r="IJ10" s="26"/>
      <c r="IK10" s="26"/>
      <c r="IL10" s="26"/>
      <c r="IM10" s="26"/>
      <c r="IN10" s="26"/>
      <c r="IO10" s="26"/>
      <c r="IP10" s="26"/>
      <c r="IQ10" s="26"/>
      <c r="IR10" s="26"/>
      <c r="IS10" s="26"/>
      <c r="IT10" s="26"/>
    </row>
    <row r="11" spans="1:254" x14ac:dyDescent="0.3">
      <c r="A11" s="30" t="s">
        <v>27</v>
      </c>
      <c r="B11" s="31" t="s">
        <v>28</v>
      </c>
      <c r="C11" s="37">
        <v>800</v>
      </c>
      <c r="D11" s="38"/>
      <c r="E11" s="37"/>
      <c r="F11" s="39"/>
      <c r="G11" s="39"/>
      <c r="H11" s="39"/>
      <c r="I11" s="39"/>
      <c r="J11" s="39"/>
      <c r="K11" s="39"/>
      <c r="L11" s="39"/>
      <c r="M11" s="39"/>
      <c r="N11" s="39"/>
    </row>
    <row r="12" spans="1:254" x14ac:dyDescent="0.3">
      <c r="A12" s="30" t="s">
        <v>29</v>
      </c>
      <c r="B12" s="31" t="s">
        <v>30</v>
      </c>
      <c r="C12" s="37">
        <v>1200</v>
      </c>
      <c r="D12" s="38"/>
      <c r="E12" s="37"/>
      <c r="F12" s="39"/>
      <c r="G12" s="39"/>
      <c r="H12" s="39"/>
      <c r="I12" s="39"/>
      <c r="J12" s="39"/>
      <c r="K12" s="39"/>
      <c r="L12" s="39"/>
      <c r="M12" s="39"/>
      <c r="N12" s="39"/>
    </row>
    <row r="13" spans="1:254" x14ac:dyDescent="0.3">
      <c r="A13" s="30" t="s">
        <v>31</v>
      </c>
      <c r="B13" s="31" t="s">
        <v>32</v>
      </c>
      <c r="C13" s="37">
        <v>1000</v>
      </c>
      <c r="D13" s="38"/>
      <c r="E13" s="37"/>
      <c r="F13" s="39"/>
      <c r="G13" s="39"/>
      <c r="H13" s="39"/>
      <c r="I13" s="39"/>
      <c r="J13" s="39"/>
      <c r="K13" s="39"/>
      <c r="L13" s="39"/>
      <c r="M13" s="39"/>
      <c r="N13" s="39"/>
    </row>
    <row r="14" spans="1:254" x14ac:dyDescent="0.3">
      <c r="A14" s="30" t="s">
        <v>33</v>
      </c>
      <c r="B14" s="31" t="s">
        <v>34</v>
      </c>
      <c r="C14" s="37">
        <v>1500</v>
      </c>
      <c r="D14" s="38"/>
      <c r="E14" s="37"/>
      <c r="F14" s="39"/>
      <c r="G14" s="39"/>
      <c r="H14" s="39"/>
      <c r="I14" s="39"/>
      <c r="J14" s="39"/>
      <c r="K14" s="39"/>
      <c r="L14" s="39"/>
      <c r="M14" s="39"/>
      <c r="N14" s="39"/>
    </row>
    <row r="15" spans="1:254" s="47" customFormat="1" x14ac:dyDescent="0.3">
      <c r="A15" s="42">
        <v>1.2</v>
      </c>
      <c r="B15" s="43" t="s">
        <v>35</v>
      </c>
      <c r="C15" s="44"/>
      <c r="D15" s="45"/>
      <c r="E15" s="44"/>
      <c r="F15" s="46"/>
      <c r="G15" s="46"/>
      <c r="H15" s="46"/>
      <c r="I15" s="46"/>
      <c r="J15" s="46"/>
      <c r="K15" s="46"/>
      <c r="L15" s="46"/>
      <c r="M15" s="46"/>
      <c r="N15" s="46"/>
      <c r="O15" s="26"/>
      <c r="P15" s="26"/>
      <c r="Q15" s="26"/>
      <c r="R15" s="26"/>
      <c r="S15" s="26"/>
      <c r="T15" s="26"/>
      <c r="U15" s="26"/>
      <c r="V15" s="26"/>
      <c r="W15" s="26"/>
      <c r="X15" s="26"/>
      <c r="Y15" s="26"/>
      <c r="Z15" s="26"/>
      <c r="AA15" s="26"/>
      <c r="AB15" s="26"/>
      <c r="AC15" s="26"/>
      <c r="AD15" s="26"/>
      <c r="AE15" s="26"/>
      <c r="AF15" s="26"/>
      <c r="AG15" s="26"/>
      <c r="AH15" s="26"/>
      <c r="AI15" s="26"/>
      <c r="AJ15" s="26"/>
      <c r="AK15" s="26"/>
      <c r="AL15" s="26"/>
      <c r="AM15" s="26"/>
      <c r="AN15" s="26"/>
      <c r="AO15" s="26"/>
      <c r="AP15" s="26"/>
      <c r="AQ15" s="26"/>
      <c r="AR15" s="26"/>
      <c r="AS15" s="26"/>
      <c r="AT15" s="26"/>
      <c r="AU15" s="26"/>
      <c r="AV15" s="26"/>
      <c r="AW15" s="26"/>
      <c r="AX15" s="26"/>
      <c r="AY15" s="26"/>
      <c r="AZ15" s="26"/>
      <c r="BA15" s="26"/>
      <c r="BB15" s="26"/>
      <c r="BC15" s="26"/>
      <c r="BD15" s="26"/>
      <c r="BE15" s="26"/>
      <c r="BF15" s="26"/>
      <c r="BG15" s="26"/>
      <c r="BH15" s="26"/>
      <c r="BI15" s="26"/>
      <c r="BJ15" s="26"/>
      <c r="BK15" s="26"/>
      <c r="BL15" s="26"/>
      <c r="BM15" s="26"/>
      <c r="BN15" s="26"/>
      <c r="BO15" s="26"/>
      <c r="BP15" s="26"/>
      <c r="BQ15" s="26"/>
      <c r="BR15" s="26"/>
      <c r="BS15" s="26"/>
      <c r="BT15" s="26"/>
      <c r="BU15" s="26"/>
      <c r="BV15" s="26"/>
      <c r="BW15" s="26"/>
      <c r="BX15" s="26"/>
      <c r="BY15" s="26"/>
      <c r="BZ15" s="26"/>
      <c r="CA15" s="26"/>
      <c r="CB15" s="26"/>
      <c r="CC15" s="26"/>
      <c r="CD15" s="26"/>
      <c r="CE15" s="26"/>
      <c r="CF15" s="26"/>
      <c r="CG15" s="26"/>
      <c r="CH15" s="26"/>
      <c r="CI15" s="26"/>
      <c r="CJ15" s="26"/>
      <c r="CK15" s="26"/>
      <c r="CL15" s="26"/>
      <c r="CM15" s="26"/>
      <c r="CN15" s="26"/>
      <c r="CO15" s="26"/>
      <c r="CP15" s="26"/>
      <c r="CQ15" s="26"/>
      <c r="CR15" s="26"/>
      <c r="CS15" s="26"/>
      <c r="CT15" s="26"/>
      <c r="CU15" s="26"/>
      <c r="CV15" s="26"/>
      <c r="CW15" s="26"/>
      <c r="CX15" s="26"/>
      <c r="CY15" s="26"/>
      <c r="CZ15" s="26"/>
      <c r="DA15" s="26"/>
      <c r="DB15" s="26"/>
      <c r="DC15" s="26"/>
      <c r="DD15" s="26"/>
      <c r="DE15" s="26"/>
      <c r="DF15" s="26"/>
      <c r="DG15" s="26"/>
      <c r="DH15" s="26"/>
      <c r="DI15" s="26"/>
      <c r="DJ15" s="26"/>
      <c r="DK15" s="26"/>
      <c r="DL15" s="26"/>
      <c r="DM15" s="26"/>
      <c r="DN15" s="26"/>
      <c r="DO15" s="26"/>
      <c r="DP15" s="26"/>
      <c r="DQ15" s="26"/>
      <c r="DR15" s="26"/>
      <c r="DS15" s="26"/>
      <c r="DT15" s="26"/>
      <c r="DU15" s="26"/>
      <c r="DV15" s="26"/>
      <c r="DW15" s="26"/>
      <c r="DX15" s="26"/>
      <c r="DY15" s="26"/>
      <c r="DZ15" s="26"/>
      <c r="EA15" s="26"/>
      <c r="EB15" s="26"/>
      <c r="EC15" s="26"/>
      <c r="ED15" s="26"/>
      <c r="EE15" s="26"/>
      <c r="EF15" s="26"/>
      <c r="EG15" s="26"/>
      <c r="EH15" s="26"/>
      <c r="EI15" s="26"/>
      <c r="EJ15" s="26"/>
      <c r="EK15" s="26"/>
      <c r="EL15" s="26"/>
      <c r="EM15" s="26"/>
      <c r="EN15" s="26"/>
      <c r="EO15" s="26"/>
      <c r="EP15" s="26"/>
      <c r="EQ15" s="26"/>
      <c r="ER15" s="26"/>
      <c r="ES15" s="26"/>
      <c r="ET15" s="26"/>
      <c r="EU15" s="26"/>
      <c r="EV15" s="26"/>
      <c r="EW15" s="26"/>
      <c r="EX15" s="26"/>
      <c r="EY15" s="26"/>
      <c r="EZ15" s="26"/>
      <c r="FA15" s="26"/>
      <c r="FB15" s="26"/>
      <c r="FC15" s="26"/>
      <c r="FD15" s="26"/>
      <c r="FE15" s="26"/>
      <c r="FF15" s="26"/>
      <c r="FG15" s="26"/>
      <c r="FH15" s="26"/>
      <c r="FI15" s="26"/>
      <c r="FJ15" s="26"/>
      <c r="FK15" s="26"/>
      <c r="FL15" s="26"/>
      <c r="FM15" s="26"/>
      <c r="FN15" s="26"/>
      <c r="FO15" s="26"/>
      <c r="FP15" s="26"/>
      <c r="FQ15" s="26"/>
      <c r="FR15" s="26"/>
      <c r="FS15" s="26"/>
      <c r="FT15" s="26"/>
      <c r="FU15" s="26"/>
      <c r="FV15" s="26"/>
      <c r="FW15" s="26"/>
      <c r="FX15" s="26"/>
      <c r="FY15" s="26"/>
      <c r="FZ15" s="26"/>
      <c r="GA15" s="26"/>
      <c r="GB15" s="26"/>
      <c r="GC15" s="26"/>
      <c r="GD15" s="26"/>
      <c r="GE15" s="26"/>
      <c r="GF15" s="26"/>
      <c r="GG15" s="26"/>
      <c r="GH15" s="26"/>
      <c r="GI15" s="26"/>
      <c r="GJ15" s="26"/>
      <c r="GK15" s="26"/>
      <c r="GL15" s="26"/>
      <c r="GM15" s="26"/>
      <c r="GN15" s="26"/>
      <c r="GO15" s="26"/>
      <c r="GP15" s="26"/>
      <c r="GQ15" s="26"/>
      <c r="GR15" s="26"/>
      <c r="GS15" s="26"/>
      <c r="GT15" s="26"/>
      <c r="GU15" s="26"/>
      <c r="GV15" s="26"/>
      <c r="GW15" s="26"/>
      <c r="GX15" s="26"/>
      <c r="GY15" s="26"/>
      <c r="GZ15" s="26"/>
      <c r="HA15" s="26"/>
      <c r="HB15" s="26"/>
      <c r="HC15" s="26"/>
      <c r="HD15" s="26"/>
      <c r="HE15" s="26"/>
      <c r="HF15" s="26"/>
      <c r="HG15" s="26"/>
      <c r="HH15" s="26"/>
      <c r="HI15" s="26"/>
      <c r="HJ15" s="26"/>
      <c r="HK15" s="26"/>
      <c r="HL15" s="26"/>
      <c r="HM15" s="26"/>
      <c r="HN15" s="26"/>
      <c r="HO15" s="26"/>
      <c r="HP15" s="26"/>
      <c r="HQ15" s="26"/>
      <c r="HR15" s="26"/>
      <c r="HS15" s="26"/>
      <c r="HT15" s="26"/>
      <c r="HU15" s="26"/>
      <c r="HV15" s="26"/>
      <c r="HW15" s="26"/>
      <c r="HX15" s="26"/>
      <c r="HY15" s="26"/>
      <c r="HZ15" s="26"/>
      <c r="IA15" s="26"/>
      <c r="IB15" s="26"/>
      <c r="IC15" s="26"/>
      <c r="ID15" s="26"/>
      <c r="IE15" s="26"/>
      <c r="IF15" s="26"/>
      <c r="IG15" s="26"/>
      <c r="IH15" s="26"/>
      <c r="II15" s="26"/>
      <c r="IJ15" s="26"/>
      <c r="IK15" s="26"/>
      <c r="IL15" s="26"/>
      <c r="IM15" s="26"/>
      <c r="IN15" s="26"/>
      <c r="IO15" s="26"/>
      <c r="IP15" s="26"/>
      <c r="IQ15" s="26"/>
      <c r="IR15" s="26"/>
      <c r="IS15" s="26"/>
      <c r="IT15" s="26"/>
    </row>
    <row r="16" spans="1:254" x14ac:dyDescent="0.3">
      <c r="A16" s="30" t="s">
        <v>36</v>
      </c>
      <c r="B16" s="31" t="s">
        <v>37</v>
      </c>
      <c r="C16" s="37">
        <v>1800</v>
      </c>
      <c r="D16" s="38"/>
      <c r="E16" s="37"/>
      <c r="F16" s="39"/>
      <c r="G16" s="39"/>
      <c r="H16" s="39"/>
      <c r="I16" s="39"/>
      <c r="J16" s="39"/>
      <c r="K16" s="39"/>
      <c r="L16" s="39"/>
      <c r="M16" s="39"/>
      <c r="N16" s="39"/>
    </row>
    <row r="17" spans="1:254" x14ac:dyDescent="0.3">
      <c r="A17" s="30" t="s">
        <v>38</v>
      </c>
      <c r="B17" s="31" t="s">
        <v>39</v>
      </c>
      <c r="C17" s="37">
        <v>1700</v>
      </c>
      <c r="D17" s="38"/>
      <c r="E17" s="37"/>
      <c r="F17" s="39"/>
      <c r="G17" s="39"/>
      <c r="H17" s="39"/>
      <c r="I17" s="39"/>
      <c r="J17" s="39"/>
      <c r="K17" s="39"/>
      <c r="L17" s="39"/>
      <c r="M17" s="39"/>
      <c r="N17" s="39"/>
    </row>
    <row r="18" spans="1:254" x14ac:dyDescent="0.3">
      <c r="A18" s="30" t="s">
        <v>40</v>
      </c>
      <c r="B18" s="31" t="s">
        <v>41</v>
      </c>
      <c r="C18" s="37">
        <v>2000</v>
      </c>
      <c r="D18" s="38"/>
      <c r="E18" s="37"/>
      <c r="F18" s="39"/>
      <c r="G18" s="39"/>
      <c r="H18" s="39"/>
      <c r="I18" s="39"/>
      <c r="J18" s="39"/>
      <c r="K18" s="39"/>
      <c r="L18" s="39"/>
      <c r="M18" s="39"/>
      <c r="N18" s="39"/>
    </row>
    <row r="19" spans="1:254" s="47" customFormat="1" x14ac:dyDescent="0.3">
      <c r="A19" s="42">
        <v>1.3</v>
      </c>
      <c r="B19" s="43" t="s">
        <v>57</v>
      </c>
      <c r="C19" s="44"/>
      <c r="D19" s="45"/>
      <c r="E19" s="44"/>
      <c r="F19" s="46"/>
      <c r="G19" s="46"/>
      <c r="H19" s="46"/>
      <c r="I19" s="46"/>
      <c r="J19" s="46"/>
      <c r="K19" s="46"/>
      <c r="L19" s="46"/>
      <c r="M19" s="46"/>
      <c r="N19" s="46"/>
      <c r="O19" s="26"/>
      <c r="P19" s="26"/>
      <c r="Q19" s="26"/>
      <c r="R19" s="26"/>
      <c r="S19" s="26"/>
      <c r="T19" s="26"/>
      <c r="U19" s="26"/>
      <c r="V19" s="26"/>
      <c r="W19" s="26"/>
      <c r="X19" s="26"/>
      <c r="Y19" s="26"/>
      <c r="Z19" s="26"/>
      <c r="AA19" s="26"/>
      <c r="AB19" s="26"/>
      <c r="AC19" s="26"/>
      <c r="AD19" s="26"/>
      <c r="AE19" s="26"/>
      <c r="AF19" s="26"/>
      <c r="AG19" s="26"/>
      <c r="AH19" s="26"/>
      <c r="AI19" s="26"/>
      <c r="AJ19" s="26"/>
      <c r="AK19" s="26"/>
      <c r="AL19" s="26"/>
      <c r="AM19" s="26"/>
      <c r="AN19" s="26"/>
      <c r="AO19" s="26"/>
      <c r="AP19" s="26"/>
      <c r="AQ19" s="26"/>
      <c r="AR19" s="26"/>
      <c r="AS19" s="26"/>
      <c r="AT19" s="26"/>
      <c r="AU19" s="26"/>
      <c r="AV19" s="26"/>
      <c r="AW19" s="26"/>
      <c r="AX19" s="26"/>
      <c r="AY19" s="26"/>
      <c r="AZ19" s="26"/>
      <c r="BA19" s="26"/>
      <c r="BB19" s="26"/>
      <c r="BC19" s="26"/>
      <c r="BD19" s="26"/>
      <c r="BE19" s="26"/>
      <c r="BF19" s="26"/>
      <c r="BG19" s="26"/>
      <c r="BH19" s="26"/>
      <c r="BI19" s="26"/>
      <c r="BJ19" s="26"/>
      <c r="BK19" s="26"/>
      <c r="BL19" s="26"/>
      <c r="BM19" s="26"/>
      <c r="BN19" s="26"/>
      <c r="BO19" s="26"/>
      <c r="BP19" s="26"/>
      <c r="BQ19" s="26"/>
      <c r="BR19" s="26"/>
      <c r="BS19" s="26"/>
      <c r="BT19" s="26"/>
      <c r="BU19" s="26"/>
      <c r="BV19" s="26"/>
      <c r="BW19" s="26"/>
      <c r="BX19" s="26"/>
      <c r="BY19" s="26"/>
      <c r="BZ19" s="26"/>
      <c r="CA19" s="26"/>
      <c r="CB19" s="26"/>
      <c r="CC19" s="26"/>
      <c r="CD19" s="26"/>
      <c r="CE19" s="26"/>
      <c r="CF19" s="26"/>
      <c r="CG19" s="26"/>
      <c r="CH19" s="26"/>
      <c r="CI19" s="26"/>
      <c r="CJ19" s="26"/>
      <c r="CK19" s="26"/>
      <c r="CL19" s="26"/>
      <c r="CM19" s="26"/>
      <c r="CN19" s="26"/>
      <c r="CO19" s="26"/>
      <c r="CP19" s="26"/>
      <c r="CQ19" s="26"/>
      <c r="CR19" s="26"/>
      <c r="CS19" s="26"/>
      <c r="CT19" s="26"/>
      <c r="CU19" s="26"/>
      <c r="CV19" s="26"/>
      <c r="CW19" s="26"/>
      <c r="CX19" s="26"/>
      <c r="CY19" s="26"/>
      <c r="CZ19" s="26"/>
      <c r="DA19" s="26"/>
      <c r="DB19" s="26"/>
      <c r="DC19" s="26"/>
      <c r="DD19" s="26"/>
      <c r="DE19" s="26"/>
      <c r="DF19" s="26"/>
      <c r="DG19" s="26"/>
      <c r="DH19" s="26"/>
      <c r="DI19" s="26"/>
      <c r="DJ19" s="26"/>
      <c r="DK19" s="26"/>
      <c r="DL19" s="26"/>
      <c r="DM19" s="26"/>
      <c r="DN19" s="26"/>
      <c r="DO19" s="26"/>
      <c r="DP19" s="26"/>
      <c r="DQ19" s="26"/>
      <c r="DR19" s="26"/>
      <c r="DS19" s="26"/>
      <c r="DT19" s="26"/>
      <c r="DU19" s="26"/>
      <c r="DV19" s="26"/>
      <c r="DW19" s="26"/>
      <c r="DX19" s="26"/>
      <c r="DY19" s="26"/>
      <c r="DZ19" s="26"/>
      <c r="EA19" s="26"/>
      <c r="EB19" s="26"/>
      <c r="EC19" s="26"/>
      <c r="ED19" s="26"/>
      <c r="EE19" s="26"/>
      <c r="EF19" s="26"/>
      <c r="EG19" s="26"/>
      <c r="EH19" s="26"/>
      <c r="EI19" s="26"/>
      <c r="EJ19" s="26"/>
      <c r="EK19" s="26"/>
      <c r="EL19" s="26"/>
      <c r="EM19" s="26"/>
      <c r="EN19" s="26"/>
      <c r="EO19" s="26"/>
      <c r="EP19" s="26"/>
      <c r="EQ19" s="26"/>
      <c r="ER19" s="26"/>
      <c r="ES19" s="26"/>
      <c r="ET19" s="26"/>
      <c r="EU19" s="26"/>
      <c r="EV19" s="26"/>
      <c r="EW19" s="26"/>
      <c r="EX19" s="26"/>
      <c r="EY19" s="26"/>
      <c r="EZ19" s="26"/>
      <c r="FA19" s="26"/>
      <c r="FB19" s="26"/>
      <c r="FC19" s="26"/>
      <c r="FD19" s="26"/>
      <c r="FE19" s="26"/>
      <c r="FF19" s="26"/>
      <c r="FG19" s="26"/>
      <c r="FH19" s="26"/>
      <c r="FI19" s="26"/>
      <c r="FJ19" s="26"/>
      <c r="FK19" s="26"/>
      <c r="FL19" s="26"/>
      <c r="FM19" s="26"/>
      <c r="FN19" s="26"/>
      <c r="FO19" s="26"/>
      <c r="FP19" s="26"/>
      <c r="FQ19" s="26"/>
      <c r="FR19" s="26"/>
      <c r="FS19" s="26"/>
      <c r="FT19" s="26"/>
      <c r="FU19" s="26"/>
      <c r="FV19" s="26"/>
      <c r="FW19" s="26"/>
      <c r="FX19" s="26"/>
      <c r="FY19" s="26"/>
      <c r="FZ19" s="26"/>
      <c r="GA19" s="26"/>
      <c r="GB19" s="26"/>
      <c r="GC19" s="26"/>
      <c r="GD19" s="26"/>
      <c r="GE19" s="26"/>
      <c r="GF19" s="26"/>
      <c r="GG19" s="26"/>
      <c r="GH19" s="26"/>
      <c r="GI19" s="26"/>
      <c r="GJ19" s="26"/>
      <c r="GK19" s="26"/>
      <c r="GL19" s="26"/>
      <c r="GM19" s="26"/>
      <c r="GN19" s="26"/>
      <c r="GO19" s="26"/>
      <c r="GP19" s="26"/>
      <c r="GQ19" s="26"/>
      <c r="GR19" s="26"/>
      <c r="GS19" s="26"/>
      <c r="GT19" s="26"/>
      <c r="GU19" s="26"/>
      <c r="GV19" s="26"/>
      <c r="GW19" s="26"/>
      <c r="GX19" s="26"/>
      <c r="GY19" s="26"/>
      <c r="GZ19" s="26"/>
      <c r="HA19" s="26"/>
      <c r="HB19" s="26"/>
      <c r="HC19" s="26"/>
      <c r="HD19" s="26"/>
      <c r="HE19" s="26"/>
      <c r="HF19" s="26"/>
      <c r="HG19" s="26"/>
      <c r="HH19" s="26"/>
      <c r="HI19" s="26"/>
      <c r="HJ19" s="26"/>
      <c r="HK19" s="26"/>
      <c r="HL19" s="26"/>
      <c r="HM19" s="26"/>
      <c r="HN19" s="26"/>
      <c r="HO19" s="26"/>
      <c r="HP19" s="26"/>
      <c r="HQ19" s="26"/>
      <c r="HR19" s="26"/>
      <c r="HS19" s="26"/>
      <c r="HT19" s="26"/>
      <c r="HU19" s="26"/>
      <c r="HV19" s="26"/>
      <c r="HW19" s="26"/>
      <c r="HX19" s="26"/>
      <c r="HY19" s="26"/>
      <c r="HZ19" s="26"/>
      <c r="IA19" s="26"/>
      <c r="IB19" s="26"/>
      <c r="IC19" s="26"/>
      <c r="ID19" s="26"/>
      <c r="IE19" s="26"/>
      <c r="IF19" s="26"/>
      <c r="IG19" s="26"/>
      <c r="IH19" s="26"/>
      <c r="II19" s="26"/>
      <c r="IJ19" s="26"/>
      <c r="IK19" s="26"/>
      <c r="IL19" s="26"/>
      <c r="IM19" s="26"/>
      <c r="IN19" s="26"/>
      <c r="IO19" s="26"/>
      <c r="IP19" s="26"/>
      <c r="IQ19" s="26"/>
      <c r="IR19" s="26"/>
      <c r="IS19" s="26"/>
      <c r="IT19" s="26"/>
    </row>
    <row r="20" spans="1:254" x14ac:dyDescent="0.3">
      <c r="A20" s="30" t="s">
        <v>42</v>
      </c>
      <c r="B20" s="31" t="s">
        <v>43</v>
      </c>
      <c r="C20" s="53">
        <v>1500</v>
      </c>
      <c r="D20" s="38"/>
      <c r="E20" s="37"/>
      <c r="F20" s="39"/>
      <c r="G20" s="39"/>
      <c r="H20" s="39"/>
      <c r="I20" s="39"/>
      <c r="J20" s="39"/>
      <c r="K20" s="39"/>
      <c r="L20" s="39"/>
      <c r="M20" s="39"/>
      <c r="N20" s="39"/>
    </row>
    <row r="21" spans="1:254" x14ac:dyDescent="0.3">
      <c r="A21" s="30" t="s">
        <v>44</v>
      </c>
      <c r="B21" s="35" t="s">
        <v>45</v>
      </c>
      <c r="C21" s="55"/>
      <c r="D21" s="52">
        <v>2000</v>
      </c>
      <c r="E21" s="37"/>
      <c r="F21" s="39"/>
      <c r="G21" s="39"/>
      <c r="H21" s="39"/>
      <c r="I21" s="39"/>
      <c r="J21" s="39"/>
      <c r="K21" s="39"/>
      <c r="L21" s="39"/>
      <c r="M21" s="39"/>
      <c r="N21" s="39"/>
    </row>
    <row r="22" spans="1:254" x14ac:dyDescent="0.3">
      <c r="A22" s="30" t="s">
        <v>46</v>
      </c>
      <c r="B22" s="35" t="s">
        <v>58</v>
      </c>
      <c r="C22" s="55"/>
      <c r="D22" s="52">
        <v>2000</v>
      </c>
      <c r="E22" s="37"/>
      <c r="F22" s="39"/>
      <c r="G22" s="39"/>
      <c r="H22" s="39"/>
      <c r="I22" s="39"/>
      <c r="J22" s="39"/>
      <c r="K22" s="39"/>
      <c r="L22" s="39"/>
      <c r="M22" s="39"/>
      <c r="N22" s="39"/>
    </row>
    <row r="23" spans="1:254" s="48" customFormat="1" x14ac:dyDescent="0.3">
      <c r="A23" s="30" t="s">
        <v>59</v>
      </c>
      <c r="B23" s="31" t="s">
        <v>60</v>
      </c>
      <c r="C23" s="54"/>
      <c r="D23" s="50">
        <v>2000</v>
      </c>
      <c r="E23" s="49"/>
      <c r="F23" s="51"/>
      <c r="G23" s="51"/>
      <c r="H23" s="51"/>
      <c r="I23" s="51"/>
      <c r="J23" s="51"/>
      <c r="K23" s="51"/>
      <c r="L23" s="51"/>
      <c r="M23" s="51"/>
      <c r="N23" s="51"/>
      <c r="O23" s="26"/>
      <c r="P23" s="26"/>
      <c r="Q23" s="26"/>
      <c r="R23" s="26"/>
      <c r="S23" s="26"/>
      <c r="T23" s="26"/>
      <c r="U23" s="26"/>
      <c r="V23" s="26"/>
      <c r="W23" s="26"/>
      <c r="X23" s="26"/>
      <c r="Y23" s="26"/>
      <c r="Z23" s="26"/>
      <c r="AA23" s="26"/>
      <c r="AB23" s="26"/>
      <c r="AC23" s="26"/>
      <c r="AD23" s="26"/>
      <c r="AE23" s="26"/>
      <c r="AF23" s="26"/>
      <c r="AG23" s="26"/>
      <c r="AH23" s="26"/>
      <c r="AI23" s="26"/>
      <c r="AJ23" s="26"/>
      <c r="AK23" s="26"/>
      <c r="AL23" s="26"/>
      <c r="AM23" s="26"/>
      <c r="AN23" s="26"/>
      <c r="AO23" s="26"/>
      <c r="AP23" s="26"/>
      <c r="AQ23" s="26"/>
      <c r="AR23" s="26"/>
      <c r="AS23" s="26"/>
      <c r="AT23" s="26"/>
      <c r="AU23" s="26"/>
      <c r="AV23" s="26"/>
      <c r="AW23" s="26"/>
      <c r="AX23" s="26"/>
      <c r="AY23" s="26"/>
      <c r="AZ23" s="26"/>
      <c r="BA23" s="26"/>
      <c r="BB23" s="26"/>
      <c r="BC23" s="26"/>
      <c r="BD23" s="26"/>
      <c r="BE23" s="26"/>
      <c r="BF23" s="26"/>
      <c r="BG23" s="26"/>
      <c r="BH23" s="26"/>
      <c r="BI23" s="26"/>
      <c r="BJ23" s="26"/>
      <c r="BK23" s="26"/>
      <c r="BL23" s="26"/>
      <c r="BM23" s="26"/>
      <c r="BN23" s="26"/>
      <c r="BO23" s="26"/>
      <c r="BP23" s="26"/>
      <c r="BQ23" s="26"/>
      <c r="BR23" s="26"/>
      <c r="BS23" s="26"/>
      <c r="BT23" s="26"/>
      <c r="BU23" s="26"/>
      <c r="BV23" s="26"/>
      <c r="BW23" s="26"/>
      <c r="BX23" s="26"/>
      <c r="BY23" s="26"/>
      <c r="BZ23" s="26"/>
      <c r="CA23" s="26"/>
      <c r="CB23" s="26"/>
      <c r="CC23" s="26"/>
      <c r="CD23" s="26"/>
      <c r="CE23" s="26"/>
      <c r="CF23" s="26"/>
      <c r="CG23" s="26"/>
      <c r="CH23" s="26"/>
      <c r="CI23" s="26"/>
      <c r="CJ23" s="26"/>
      <c r="CK23" s="26"/>
      <c r="CL23" s="26"/>
      <c r="CM23" s="26"/>
      <c r="CN23" s="26"/>
      <c r="CO23" s="26"/>
      <c r="CP23" s="26"/>
      <c r="CQ23" s="26"/>
      <c r="CR23" s="26"/>
      <c r="CS23" s="26"/>
      <c r="CT23" s="26"/>
      <c r="CU23" s="26"/>
      <c r="CV23" s="26"/>
      <c r="CW23" s="26"/>
      <c r="CX23" s="26"/>
      <c r="CY23" s="26"/>
      <c r="CZ23" s="26"/>
      <c r="DA23" s="26"/>
      <c r="DB23" s="26"/>
      <c r="DC23" s="26"/>
      <c r="DD23" s="26"/>
      <c r="DE23" s="26"/>
      <c r="DF23" s="26"/>
      <c r="DG23" s="26"/>
      <c r="DH23" s="26"/>
      <c r="DI23" s="26"/>
      <c r="DJ23" s="26"/>
      <c r="DK23" s="26"/>
      <c r="DL23" s="26"/>
      <c r="DM23" s="26"/>
      <c r="DN23" s="26"/>
      <c r="DO23" s="26"/>
      <c r="DP23" s="26"/>
      <c r="DQ23" s="26"/>
      <c r="DR23" s="26"/>
      <c r="DS23" s="26"/>
      <c r="DT23" s="26"/>
      <c r="DU23" s="26"/>
      <c r="DV23" s="26"/>
      <c r="DW23" s="26"/>
      <c r="DX23" s="26"/>
      <c r="DY23" s="26"/>
      <c r="DZ23" s="26"/>
      <c r="EA23" s="26"/>
      <c r="EB23" s="26"/>
      <c r="EC23" s="26"/>
      <c r="ED23" s="26"/>
      <c r="EE23" s="26"/>
      <c r="EF23" s="26"/>
      <c r="EG23" s="26"/>
      <c r="EH23" s="26"/>
      <c r="EI23" s="26"/>
      <c r="EJ23" s="26"/>
      <c r="EK23" s="26"/>
      <c r="EL23" s="26"/>
      <c r="EM23" s="26"/>
      <c r="EN23" s="26"/>
      <c r="EO23" s="26"/>
      <c r="EP23" s="26"/>
      <c r="EQ23" s="26"/>
      <c r="ER23" s="26"/>
      <c r="ES23" s="26"/>
      <c r="ET23" s="26"/>
      <c r="EU23" s="26"/>
      <c r="EV23" s="26"/>
      <c r="EW23" s="26"/>
      <c r="EX23" s="26"/>
      <c r="EY23" s="26"/>
      <c r="EZ23" s="26"/>
      <c r="FA23" s="26"/>
      <c r="FB23" s="26"/>
      <c r="FC23" s="26"/>
      <c r="FD23" s="26"/>
      <c r="FE23" s="26"/>
      <c r="FF23" s="26"/>
      <c r="FG23" s="26"/>
      <c r="FH23" s="26"/>
      <c r="FI23" s="26"/>
      <c r="FJ23" s="26"/>
      <c r="FK23" s="26"/>
      <c r="FL23" s="26"/>
      <c r="FM23" s="26"/>
      <c r="FN23" s="26"/>
      <c r="FO23" s="26"/>
      <c r="FP23" s="26"/>
      <c r="FQ23" s="26"/>
      <c r="FR23" s="26"/>
      <c r="FS23" s="26"/>
      <c r="FT23" s="26"/>
      <c r="FU23" s="26"/>
      <c r="FV23" s="26"/>
      <c r="FW23" s="26"/>
      <c r="FX23" s="26"/>
      <c r="FY23" s="26"/>
      <c r="FZ23" s="26"/>
      <c r="GA23" s="26"/>
      <c r="GB23" s="26"/>
      <c r="GC23" s="26"/>
      <c r="GD23" s="26"/>
      <c r="GE23" s="26"/>
      <c r="GF23" s="26"/>
      <c r="GG23" s="26"/>
      <c r="GH23" s="26"/>
      <c r="GI23" s="26"/>
      <c r="GJ23" s="26"/>
      <c r="GK23" s="26"/>
      <c r="GL23" s="26"/>
      <c r="GM23" s="26"/>
      <c r="GN23" s="26"/>
      <c r="GO23" s="26"/>
      <c r="GP23" s="26"/>
      <c r="GQ23" s="26"/>
      <c r="GR23" s="26"/>
      <c r="GS23" s="26"/>
      <c r="GT23" s="26"/>
      <c r="GU23" s="26"/>
      <c r="GV23" s="26"/>
      <c r="GW23" s="26"/>
      <c r="GX23" s="26"/>
      <c r="GY23" s="26"/>
      <c r="GZ23" s="26"/>
      <c r="HA23" s="26"/>
      <c r="HB23" s="26"/>
      <c r="HC23" s="26"/>
      <c r="HD23" s="26"/>
      <c r="HE23" s="26"/>
      <c r="HF23" s="26"/>
      <c r="HG23" s="26"/>
      <c r="HH23" s="26"/>
      <c r="HI23" s="26"/>
      <c r="HJ23" s="26"/>
      <c r="HK23" s="26"/>
      <c r="HL23" s="26"/>
      <c r="HM23" s="26"/>
      <c r="HN23" s="26"/>
      <c r="HO23" s="26"/>
      <c r="HP23" s="26"/>
      <c r="HQ23" s="26"/>
      <c r="HR23" s="26"/>
      <c r="HS23" s="26"/>
      <c r="HT23" s="26"/>
      <c r="HU23" s="26"/>
      <c r="HV23" s="26"/>
      <c r="HW23" s="26"/>
      <c r="HX23" s="26"/>
      <c r="HY23" s="26"/>
      <c r="HZ23" s="26"/>
      <c r="IA23" s="26"/>
      <c r="IB23" s="26"/>
      <c r="IC23" s="26"/>
      <c r="ID23" s="26"/>
      <c r="IE23" s="26"/>
      <c r="IF23" s="26"/>
      <c r="IG23" s="26"/>
      <c r="IH23" s="26"/>
      <c r="II23" s="26"/>
      <c r="IJ23" s="26"/>
      <c r="IK23" s="26"/>
      <c r="IL23" s="26"/>
      <c r="IM23" s="26"/>
      <c r="IN23" s="26"/>
      <c r="IO23" s="26"/>
      <c r="IP23" s="26"/>
      <c r="IQ23" s="26"/>
      <c r="IR23" s="26"/>
      <c r="IS23" s="26"/>
      <c r="IT23" s="26"/>
    </row>
    <row r="24" spans="1:254" s="47" customFormat="1" x14ac:dyDescent="0.3">
      <c r="A24" s="42">
        <v>1.4</v>
      </c>
      <c r="B24" s="43" t="s">
        <v>61</v>
      </c>
      <c r="C24" s="44"/>
      <c r="D24" s="45"/>
      <c r="E24" s="44"/>
      <c r="F24" s="46"/>
      <c r="G24" s="46"/>
      <c r="H24" s="46"/>
      <c r="I24" s="46"/>
      <c r="J24" s="46"/>
      <c r="K24" s="46"/>
      <c r="L24" s="46"/>
      <c r="M24" s="46"/>
      <c r="N24" s="46"/>
      <c r="O24" s="26"/>
      <c r="P24" s="26"/>
      <c r="Q24" s="26"/>
      <c r="R24" s="26"/>
      <c r="S24" s="26"/>
      <c r="T24" s="26"/>
      <c r="U24" s="26"/>
      <c r="V24" s="26"/>
      <c r="W24" s="26"/>
      <c r="X24" s="26"/>
      <c r="Y24" s="26"/>
      <c r="Z24" s="26"/>
      <c r="AA24" s="26"/>
      <c r="AB24" s="26"/>
      <c r="AC24" s="26"/>
      <c r="AD24" s="26"/>
      <c r="AE24" s="26"/>
      <c r="AF24" s="26"/>
      <c r="AG24" s="26"/>
      <c r="AH24" s="26"/>
      <c r="AI24" s="26"/>
      <c r="AJ24" s="26"/>
      <c r="AK24" s="26"/>
      <c r="AL24" s="26"/>
      <c r="AM24" s="26"/>
      <c r="AN24" s="26"/>
      <c r="AO24" s="26"/>
      <c r="AP24" s="26"/>
      <c r="AQ24" s="26"/>
      <c r="AR24" s="26"/>
      <c r="AS24" s="26"/>
      <c r="AT24" s="26"/>
      <c r="AU24" s="26"/>
      <c r="AV24" s="26"/>
      <c r="AW24" s="26"/>
      <c r="AX24" s="26"/>
      <c r="AY24" s="26"/>
      <c r="AZ24" s="26"/>
      <c r="BA24" s="26"/>
      <c r="BB24" s="26"/>
      <c r="BC24" s="26"/>
      <c r="BD24" s="26"/>
      <c r="BE24" s="26"/>
      <c r="BF24" s="26"/>
      <c r="BG24" s="26"/>
      <c r="BH24" s="26"/>
      <c r="BI24" s="26"/>
      <c r="BJ24" s="26"/>
      <c r="BK24" s="26"/>
      <c r="BL24" s="26"/>
      <c r="BM24" s="26"/>
      <c r="BN24" s="26"/>
      <c r="BO24" s="26"/>
      <c r="BP24" s="26"/>
      <c r="BQ24" s="26"/>
      <c r="BR24" s="26"/>
      <c r="BS24" s="26"/>
      <c r="BT24" s="26"/>
      <c r="BU24" s="26"/>
      <c r="BV24" s="26"/>
      <c r="BW24" s="26"/>
      <c r="BX24" s="26"/>
      <c r="BY24" s="26"/>
      <c r="BZ24" s="26"/>
      <c r="CA24" s="26"/>
      <c r="CB24" s="26"/>
      <c r="CC24" s="26"/>
      <c r="CD24" s="26"/>
      <c r="CE24" s="26"/>
      <c r="CF24" s="26"/>
      <c r="CG24" s="26"/>
      <c r="CH24" s="26"/>
      <c r="CI24" s="26"/>
      <c r="CJ24" s="26"/>
      <c r="CK24" s="26"/>
      <c r="CL24" s="26"/>
      <c r="CM24" s="26"/>
      <c r="CN24" s="26"/>
      <c r="CO24" s="26"/>
      <c r="CP24" s="26"/>
      <c r="CQ24" s="26"/>
      <c r="CR24" s="26"/>
      <c r="CS24" s="26"/>
      <c r="CT24" s="26"/>
      <c r="CU24" s="26"/>
      <c r="CV24" s="26"/>
      <c r="CW24" s="26"/>
      <c r="CX24" s="26"/>
      <c r="CY24" s="26"/>
      <c r="CZ24" s="26"/>
      <c r="DA24" s="26"/>
      <c r="DB24" s="26"/>
      <c r="DC24" s="26"/>
      <c r="DD24" s="26"/>
      <c r="DE24" s="26"/>
      <c r="DF24" s="26"/>
      <c r="DG24" s="26"/>
      <c r="DH24" s="26"/>
      <c r="DI24" s="26"/>
      <c r="DJ24" s="26"/>
      <c r="DK24" s="26"/>
      <c r="DL24" s="26"/>
      <c r="DM24" s="26"/>
      <c r="DN24" s="26"/>
      <c r="DO24" s="26"/>
      <c r="DP24" s="26"/>
      <c r="DQ24" s="26"/>
      <c r="DR24" s="26"/>
      <c r="DS24" s="26"/>
      <c r="DT24" s="26"/>
      <c r="DU24" s="26"/>
      <c r="DV24" s="26"/>
      <c r="DW24" s="26"/>
      <c r="DX24" s="26"/>
      <c r="DY24" s="26"/>
      <c r="DZ24" s="26"/>
      <c r="EA24" s="26"/>
      <c r="EB24" s="26"/>
      <c r="EC24" s="26"/>
      <c r="ED24" s="26"/>
      <c r="EE24" s="26"/>
      <c r="EF24" s="26"/>
      <c r="EG24" s="26"/>
      <c r="EH24" s="26"/>
      <c r="EI24" s="26"/>
      <c r="EJ24" s="26"/>
      <c r="EK24" s="26"/>
      <c r="EL24" s="26"/>
      <c r="EM24" s="26"/>
      <c r="EN24" s="26"/>
      <c r="EO24" s="26"/>
      <c r="EP24" s="26"/>
      <c r="EQ24" s="26"/>
      <c r="ER24" s="26"/>
      <c r="ES24" s="26"/>
      <c r="ET24" s="26"/>
      <c r="EU24" s="26"/>
      <c r="EV24" s="26"/>
      <c r="EW24" s="26"/>
      <c r="EX24" s="26"/>
      <c r="EY24" s="26"/>
      <c r="EZ24" s="26"/>
      <c r="FA24" s="26"/>
      <c r="FB24" s="26"/>
      <c r="FC24" s="26"/>
      <c r="FD24" s="26"/>
      <c r="FE24" s="26"/>
      <c r="FF24" s="26"/>
      <c r="FG24" s="26"/>
      <c r="FH24" s="26"/>
      <c r="FI24" s="26"/>
      <c r="FJ24" s="26"/>
      <c r="FK24" s="26"/>
      <c r="FL24" s="26"/>
      <c r="FM24" s="26"/>
      <c r="FN24" s="26"/>
      <c r="FO24" s="26"/>
      <c r="FP24" s="26"/>
      <c r="FQ24" s="26"/>
      <c r="FR24" s="26"/>
      <c r="FS24" s="26"/>
      <c r="FT24" s="26"/>
      <c r="FU24" s="26"/>
      <c r="FV24" s="26"/>
      <c r="FW24" s="26"/>
      <c r="FX24" s="26"/>
      <c r="FY24" s="26"/>
      <c r="FZ24" s="26"/>
      <c r="GA24" s="26"/>
      <c r="GB24" s="26"/>
      <c r="GC24" s="26"/>
      <c r="GD24" s="26"/>
      <c r="GE24" s="26"/>
      <c r="GF24" s="26"/>
      <c r="GG24" s="26"/>
      <c r="GH24" s="26"/>
      <c r="GI24" s="26"/>
      <c r="GJ24" s="26"/>
      <c r="GK24" s="26"/>
      <c r="GL24" s="26"/>
      <c r="GM24" s="26"/>
      <c r="GN24" s="26"/>
      <c r="GO24" s="26"/>
      <c r="GP24" s="26"/>
      <c r="GQ24" s="26"/>
      <c r="GR24" s="26"/>
      <c r="GS24" s="26"/>
      <c r="GT24" s="26"/>
      <c r="GU24" s="26"/>
      <c r="GV24" s="26"/>
      <c r="GW24" s="26"/>
      <c r="GX24" s="26"/>
      <c r="GY24" s="26"/>
      <c r="GZ24" s="26"/>
      <c r="HA24" s="26"/>
      <c r="HB24" s="26"/>
      <c r="HC24" s="26"/>
      <c r="HD24" s="26"/>
      <c r="HE24" s="26"/>
      <c r="HF24" s="26"/>
      <c r="HG24" s="26"/>
      <c r="HH24" s="26"/>
      <c r="HI24" s="26"/>
      <c r="HJ24" s="26"/>
      <c r="HK24" s="26"/>
      <c r="HL24" s="26"/>
      <c r="HM24" s="26"/>
      <c r="HN24" s="26"/>
      <c r="HO24" s="26"/>
      <c r="HP24" s="26"/>
      <c r="HQ24" s="26"/>
      <c r="HR24" s="26"/>
      <c r="HS24" s="26"/>
      <c r="HT24" s="26"/>
      <c r="HU24" s="26"/>
      <c r="HV24" s="26"/>
      <c r="HW24" s="26"/>
      <c r="HX24" s="26"/>
      <c r="HY24" s="26"/>
      <c r="HZ24" s="26"/>
      <c r="IA24" s="26"/>
      <c r="IB24" s="26"/>
      <c r="IC24" s="26"/>
      <c r="ID24" s="26"/>
      <c r="IE24" s="26"/>
      <c r="IF24" s="26"/>
      <c r="IG24" s="26"/>
      <c r="IH24" s="26"/>
      <c r="II24" s="26"/>
      <c r="IJ24" s="26"/>
      <c r="IK24" s="26"/>
      <c r="IL24" s="26"/>
      <c r="IM24" s="26"/>
      <c r="IN24" s="26"/>
      <c r="IO24" s="26"/>
      <c r="IP24" s="26"/>
      <c r="IQ24" s="26"/>
      <c r="IR24" s="26"/>
      <c r="IS24" s="26"/>
      <c r="IT24" s="26"/>
    </row>
    <row r="25" spans="1:254" x14ac:dyDescent="0.3">
      <c r="A25" s="30" t="s">
        <v>47</v>
      </c>
      <c r="B25" s="31" t="s">
        <v>51</v>
      </c>
      <c r="C25" s="37"/>
      <c r="D25" s="38">
        <v>3000</v>
      </c>
      <c r="E25" s="37"/>
      <c r="F25" s="39"/>
      <c r="G25" s="39"/>
      <c r="H25" s="39"/>
      <c r="I25" s="39"/>
      <c r="J25" s="39"/>
      <c r="K25" s="39"/>
      <c r="L25" s="39"/>
      <c r="M25" s="39"/>
      <c r="N25" s="39"/>
    </row>
    <row r="26" spans="1:254" x14ac:dyDescent="0.3">
      <c r="A26" s="30" t="s">
        <v>48</v>
      </c>
      <c r="B26" s="31" t="s">
        <v>52</v>
      </c>
      <c r="C26" s="37"/>
      <c r="D26" s="38">
        <v>3500</v>
      </c>
      <c r="E26" s="37"/>
      <c r="F26" s="39"/>
      <c r="G26" s="39"/>
      <c r="H26" s="39"/>
      <c r="I26" s="39"/>
      <c r="J26" s="39"/>
      <c r="K26" s="39"/>
      <c r="L26" s="39"/>
      <c r="M26" s="39"/>
      <c r="N26" s="39"/>
    </row>
    <row r="27" spans="1:254" x14ac:dyDescent="0.3">
      <c r="A27" s="30" t="s">
        <v>49</v>
      </c>
      <c r="B27" s="31" t="s">
        <v>53</v>
      </c>
      <c r="C27" s="37"/>
      <c r="D27" s="38">
        <v>2000</v>
      </c>
      <c r="E27" s="37"/>
      <c r="F27" s="39"/>
      <c r="G27" s="39"/>
      <c r="H27" s="39"/>
      <c r="I27" s="39"/>
      <c r="J27" s="39"/>
      <c r="K27" s="39"/>
      <c r="L27" s="39"/>
      <c r="M27" s="39"/>
      <c r="N27" s="39"/>
    </row>
    <row r="28" spans="1:254" s="48" customFormat="1" x14ac:dyDescent="0.3">
      <c r="A28" s="30" t="s">
        <v>50</v>
      </c>
      <c r="B28" s="31" t="s">
        <v>62</v>
      </c>
      <c r="C28" s="49"/>
      <c r="D28" s="50">
        <v>4000</v>
      </c>
      <c r="E28" s="49"/>
      <c r="F28" s="51"/>
      <c r="G28" s="51"/>
      <c r="H28" s="51"/>
      <c r="I28" s="51"/>
      <c r="J28" s="51"/>
      <c r="K28" s="51"/>
      <c r="L28" s="51"/>
      <c r="M28" s="51"/>
      <c r="N28" s="51"/>
      <c r="O28" s="26"/>
      <c r="P28" s="26"/>
      <c r="Q28" s="26"/>
      <c r="R28" s="26"/>
      <c r="S28" s="26"/>
      <c r="T28" s="26"/>
      <c r="U28" s="26"/>
      <c r="V28" s="26"/>
      <c r="W28" s="26"/>
      <c r="X28" s="26"/>
      <c r="Y28" s="26"/>
      <c r="Z28" s="26"/>
      <c r="AA28" s="26"/>
      <c r="AB28" s="26"/>
      <c r="AC28" s="26"/>
      <c r="AD28" s="26"/>
      <c r="AE28" s="26"/>
      <c r="AF28" s="26"/>
      <c r="AG28" s="26"/>
      <c r="AH28" s="26"/>
      <c r="AI28" s="26"/>
      <c r="AJ28" s="26"/>
      <c r="AK28" s="26"/>
      <c r="AL28" s="26"/>
      <c r="AM28" s="26"/>
      <c r="AN28" s="26"/>
      <c r="AO28" s="26"/>
      <c r="AP28" s="26"/>
      <c r="AQ28" s="26"/>
      <c r="AR28" s="26"/>
      <c r="AS28" s="26"/>
      <c r="AT28" s="26"/>
      <c r="AU28" s="26"/>
      <c r="AV28" s="26"/>
      <c r="AW28" s="26"/>
      <c r="AX28" s="26"/>
      <c r="AY28" s="26"/>
      <c r="AZ28" s="26"/>
      <c r="BA28" s="26"/>
      <c r="BB28" s="26"/>
      <c r="BC28" s="26"/>
      <c r="BD28" s="26"/>
      <c r="BE28" s="26"/>
      <c r="BF28" s="26"/>
      <c r="BG28" s="26"/>
      <c r="BH28" s="26"/>
      <c r="BI28" s="26"/>
      <c r="BJ28" s="26"/>
      <c r="BK28" s="26"/>
      <c r="BL28" s="26"/>
      <c r="BM28" s="26"/>
      <c r="BN28" s="26"/>
      <c r="BO28" s="26"/>
      <c r="BP28" s="26"/>
      <c r="BQ28" s="26"/>
      <c r="BR28" s="26"/>
      <c r="BS28" s="26"/>
      <c r="BT28" s="26"/>
      <c r="BU28" s="26"/>
      <c r="BV28" s="26"/>
      <c r="BW28" s="26"/>
      <c r="BX28" s="26"/>
      <c r="BY28" s="26"/>
      <c r="BZ28" s="26"/>
      <c r="CA28" s="26"/>
      <c r="CB28" s="26"/>
      <c r="CC28" s="26"/>
      <c r="CD28" s="26"/>
      <c r="CE28" s="26"/>
      <c r="CF28" s="26"/>
      <c r="CG28" s="26"/>
      <c r="CH28" s="26"/>
      <c r="CI28" s="26"/>
      <c r="CJ28" s="26"/>
      <c r="CK28" s="26"/>
      <c r="CL28" s="26"/>
      <c r="CM28" s="26"/>
      <c r="CN28" s="26"/>
      <c r="CO28" s="26"/>
      <c r="CP28" s="26"/>
      <c r="CQ28" s="26"/>
      <c r="CR28" s="26"/>
      <c r="CS28" s="26"/>
      <c r="CT28" s="26"/>
      <c r="CU28" s="26"/>
      <c r="CV28" s="26"/>
      <c r="CW28" s="26"/>
      <c r="CX28" s="26"/>
      <c r="CY28" s="26"/>
      <c r="CZ28" s="26"/>
      <c r="DA28" s="26"/>
      <c r="DB28" s="26"/>
      <c r="DC28" s="26"/>
      <c r="DD28" s="26"/>
      <c r="DE28" s="26"/>
      <c r="DF28" s="26"/>
      <c r="DG28" s="26"/>
      <c r="DH28" s="26"/>
      <c r="DI28" s="26"/>
      <c r="DJ28" s="26"/>
      <c r="DK28" s="26"/>
      <c r="DL28" s="26"/>
      <c r="DM28" s="26"/>
      <c r="DN28" s="26"/>
      <c r="DO28" s="26"/>
      <c r="DP28" s="26"/>
      <c r="DQ28" s="26"/>
      <c r="DR28" s="26"/>
      <c r="DS28" s="26"/>
      <c r="DT28" s="26"/>
      <c r="DU28" s="26"/>
      <c r="DV28" s="26"/>
      <c r="DW28" s="26"/>
      <c r="DX28" s="26"/>
      <c r="DY28" s="26"/>
      <c r="DZ28" s="26"/>
      <c r="EA28" s="26"/>
      <c r="EB28" s="26"/>
      <c r="EC28" s="26"/>
      <c r="ED28" s="26"/>
      <c r="EE28" s="26"/>
      <c r="EF28" s="26"/>
      <c r="EG28" s="26"/>
      <c r="EH28" s="26"/>
      <c r="EI28" s="26"/>
      <c r="EJ28" s="26"/>
      <c r="EK28" s="26"/>
      <c r="EL28" s="26"/>
      <c r="EM28" s="26"/>
      <c r="EN28" s="26"/>
      <c r="EO28" s="26"/>
      <c r="EP28" s="26"/>
      <c r="EQ28" s="26"/>
      <c r="ER28" s="26"/>
      <c r="ES28" s="26"/>
      <c r="ET28" s="26"/>
      <c r="EU28" s="26"/>
      <c r="EV28" s="26"/>
      <c r="EW28" s="26"/>
      <c r="EX28" s="26"/>
      <c r="EY28" s="26"/>
      <c r="EZ28" s="26"/>
      <c r="FA28" s="26"/>
      <c r="FB28" s="26"/>
      <c r="FC28" s="26"/>
      <c r="FD28" s="26"/>
      <c r="FE28" s="26"/>
      <c r="FF28" s="26"/>
      <c r="FG28" s="26"/>
      <c r="FH28" s="26"/>
      <c r="FI28" s="26"/>
      <c r="FJ28" s="26"/>
      <c r="FK28" s="26"/>
      <c r="FL28" s="26"/>
      <c r="FM28" s="26"/>
      <c r="FN28" s="26"/>
      <c r="FO28" s="26"/>
      <c r="FP28" s="26"/>
      <c r="FQ28" s="26"/>
      <c r="FR28" s="26"/>
      <c r="FS28" s="26"/>
      <c r="FT28" s="26"/>
      <c r="FU28" s="26"/>
      <c r="FV28" s="26"/>
      <c r="FW28" s="26"/>
      <c r="FX28" s="26"/>
      <c r="FY28" s="26"/>
      <c r="FZ28" s="26"/>
      <c r="GA28" s="26"/>
      <c r="GB28" s="26"/>
      <c r="GC28" s="26"/>
      <c r="GD28" s="26"/>
      <c r="GE28" s="26"/>
      <c r="GF28" s="26"/>
      <c r="GG28" s="26"/>
      <c r="GH28" s="26"/>
      <c r="GI28" s="26"/>
      <c r="GJ28" s="26"/>
      <c r="GK28" s="26"/>
      <c r="GL28" s="26"/>
      <c r="GM28" s="26"/>
      <c r="GN28" s="26"/>
      <c r="GO28" s="26"/>
      <c r="GP28" s="26"/>
      <c r="GQ28" s="26"/>
      <c r="GR28" s="26"/>
      <c r="GS28" s="26"/>
      <c r="GT28" s="26"/>
      <c r="GU28" s="26"/>
      <c r="GV28" s="26"/>
      <c r="GW28" s="26"/>
      <c r="GX28" s="26"/>
      <c r="GY28" s="26"/>
      <c r="GZ28" s="26"/>
      <c r="HA28" s="26"/>
      <c r="HB28" s="26"/>
      <c r="HC28" s="26"/>
      <c r="HD28" s="26"/>
      <c r="HE28" s="26"/>
      <c r="HF28" s="26"/>
      <c r="HG28" s="26"/>
      <c r="HH28" s="26"/>
      <c r="HI28" s="26"/>
      <c r="HJ28" s="26"/>
      <c r="HK28" s="26"/>
      <c r="HL28" s="26"/>
      <c r="HM28" s="26"/>
      <c r="HN28" s="26"/>
      <c r="HO28" s="26"/>
      <c r="HP28" s="26"/>
      <c r="HQ28" s="26"/>
      <c r="HR28" s="26"/>
      <c r="HS28" s="26"/>
      <c r="HT28" s="26"/>
      <c r="HU28" s="26"/>
      <c r="HV28" s="26"/>
      <c r="HW28" s="26"/>
      <c r="HX28" s="26"/>
      <c r="HY28" s="26"/>
      <c r="HZ28" s="26"/>
      <c r="IA28" s="26"/>
      <c r="IB28" s="26"/>
      <c r="IC28" s="26"/>
      <c r="ID28" s="26"/>
      <c r="IE28" s="26"/>
      <c r="IF28" s="26"/>
      <c r="IG28" s="26"/>
      <c r="IH28" s="26"/>
      <c r="II28" s="26"/>
      <c r="IJ28" s="26"/>
      <c r="IK28" s="26"/>
      <c r="IL28" s="26"/>
      <c r="IM28" s="26"/>
      <c r="IN28" s="26"/>
      <c r="IO28" s="26"/>
      <c r="IP28" s="26"/>
      <c r="IQ28" s="26"/>
      <c r="IR28" s="26"/>
      <c r="IS28" s="26"/>
      <c r="IT28" s="26"/>
    </row>
    <row r="29" spans="1:254" x14ac:dyDescent="0.3">
      <c r="A29" s="77" t="s">
        <v>103</v>
      </c>
      <c r="B29" s="78"/>
      <c r="C29" s="40"/>
      <c r="D29" s="41"/>
      <c r="E29" s="40"/>
      <c r="F29" s="40"/>
      <c r="G29" s="40"/>
      <c r="H29" s="40"/>
      <c r="I29" s="40"/>
      <c r="J29" s="40"/>
      <c r="K29" s="40"/>
      <c r="L29" s="40"/>
      <c r="M29" s="40"/>
      <c r="N29" s="40"/>
    </row>
    <row r="30" spans="1:254" s="47" customFormat="1" x14ac:dyDescent="0.3">
      <c r="A30" s="42">
        <v>2.1</v>
      </c>
      <c r="B30" s="43" t="s">
        <v>63</v>
      </c>
      <c r="C30" s="44"/>
      <c r="D30" s="45"/>
      <c r="E30" s="44"/>
      <c r="F30" s="46"/>
      <c r="G30" s="46"/>
      <c r="H30" s="46"/>
      <c r="I30" s="46"/>
      <c r="J30" s="46"/>
      <c r="K30" s="46"/>
      <c r="L30" s="46"/>
      <c r="M30" s="46"/>
      <c r="N30" s="46"/>
      <c r="O30" s="26"/>
      <c r="P30" s="26"/>
      <c r="Q30" s="26"/>
      <c r="R30" s="26"/>
      <c r="S30" s="26"/>
      <c r="T30" s="26"/>
      <c r="U30" s="26"/>
      <c r="V30" s="26"/>
      <c r="W30" s="26"/>
      <c r="X30" s="26"/>
      <c r="Y30" s="26"/>
      <c r="Z30" s="26"/>
      <c r="AA30" s="26"/>
      <c r="AB30" s="26"/>
      <c r="AC30" s="26"/>
      <c r="AD30" s="26"/>
      <c r="AE30" s="26"/>
      <c r="AF30" s="26"/>
      <c r="AG30" s="26"/>
      <c r="AH30" s="26"/>
      <c r="AI30" s="26"/>
      <c r="AJ30" s="26"/>
      <c r="AK30" s="26"/>
      <c r="AL30" s="26"/>
      <c r="AM30" s="26"/>
      <c r="AN30" s="26"/>
      <c r="AO30" s="26"/>
      <c r="AP30" s="26"/>
      <c r="AQ30" s="26"/>
      <c r="AR30" s="26"/>
      <c r="AS30" s="26"/>
      <c r="AT30" s="26"/>
      <c r="AU30" s="26"/>
      <c r="AV30" s="26"/>
      <c r="AW30" s="26"/>
      <c r="AX30" s="26"/>
      <c r="AY30" s="26"/>
      <c r="AZ30" s="26"/>
      <c r="BA30" s="26"/>
      <c r="BB30" s="26"/>
      <c r="BC30" s="26"/>
      <c r="BD30" s="26"/>
      <c r="BE30" s="26"/>
      <c r="BF30" s="26"/>
      <c r="BG30" s="26"/>
      <c r="BH30" s="26"/>
      <c r="BI30" s="26"/>
      <c r="BJ30" s="26"/>
      <c r="BK30" s="26"/>
      <c r="BL30" s="26"/>
      <c r="BM30" s="26"/>
      <c r="BN30" s="26"/>
      <c r="BO30" s="26"/>
      <c r="BP30" s="26"/>
      <c r="BQ30" s="26"/>
      <c r="BR30" s="26"/>
      <c r="BS30" s="26"/>
      <c r="BT30" s="26"/>
      <c r="BU30" s="26"/>
      <c r="BV30" s="26"/>
      <c r="BW30" s="26"/>
      <c r="BX30" s="26"/>
      <c r="BY30" s="26"/>
      <c r="BZ30" s="26"/>
      <c r="CA30" s="26"/>
      <c r="CB30" s="26"/>
      <c r="CC30" s="26"/>
      <c r="CD30" s="26"/>
      <c r="CE30" s="26"/>
      <c r="CF30" s="26"/>
      <c r="CG30" s="26"/>
      <c r="CH30" s="26"/>
      <c r="CI30" s="26"/>
      <c r="CJ30" s="26"/>
      <c r="CK30" s="26"/>
      <c r="CL30" s="26"/>
      <c r="CM30" s="26"/>
      <c r="CN30" s="26"/>
      <c r="CO30" s="26"/>
      <c r="CP30" s="26"/>
      <c r="CQ30" s="26"/>
      <c r="CR30" s="26"/>
      <c r="CS30" s="26"/>
      <c r="CT30" s="26"/>
      <c r="CU30" s="26"/>
      <c r="CV30" s="26"/>
      <c r="CW30" s="26"/>
      <c r="CX30" s="26"/>
      <c r="CY30" s="26"/>
      <c r="CZ30" s="26"/>
      <c r="DA30" s="26"/>
      <c r="DB30" s="26"/>
      <c r="DC30" s="26"/>
      <c r="DD30" s="26"/>
      <c r="DE30" s="26"/>
      <c r="DF30" s="26"/>
      <c r="DG30" s="26"/>
      <c r="DH30" s="26"/>
      <c r="DI30" s="26"/>
      <c r="DJ30" s="26"/>
      <c r="DK30" s="26"/>
      <c r="DL30" s="26"/>
      <c r="DM30" s="26"/>
      <c r="DN30" s="26"/>
      <c r="DO30" s="26"/>
      <c r="DP30" s="26"/>
      <c r="DQ30" s="26"/>
      <c r="DR30" s="26"/>
      <c r="DS30" s="26"/>
      <c r="DT30" s="26"/>
      <c r="DU30" s="26"/>
      <c r="DV30" s="26"/>
      <c r="DW30" s="26"/>
      <c r="DX30" s="26"/>
      <c r="DY30" s="26"/>
      <c r="DZ30" s="26"/>
      <c r="EA30" s="26"/>
      <c r="EB30" s="26"/>
      <c r="EC30" s="26"/>
      <c r="ED30" s="26"/>
      <c r="EE30" s="26"/>
      <c r="EF30" s="26"/>
      <c r="EG30" s="26"/>
      <c r="EH30" s="26"/>
      <c r="EI30" s="26"/>
      <c r="EJ30" s="26"/>
      <c r="EK30" s="26"/>
      <c r="EL30" s="26"/>
      <c r="EM30" s="26"/>
      <c r="EN30" s="26"/>
      <c r="EO30" s="26"/>
      <c r="EP30" s="26"/>
      <c r="EQ30" s="26"/>
      <c r="ER30" s="26"/>
      <c r="ES30" s="26"/>
      <c r="ET30" s="26"/>
      <c r="EU30" s="26"/>
      <c r="EV30" s="26"/>
      <c r="EW30" s="26"/>
      <c r="EX30" s="26"/>
      <c r="EY30" s="26"/>
      <c r="EZ30" s="26"/>
      <c r="FA30" s="26"/>
      <c r="FB30" s="26"/>
      <c r="FC30" s="26"/>
      <c r="FD30" s="26"/>
      <c r="FE30" s="26"/>
      <c r="FF30" s="26"/>
      <c r="FG30" s="26"/>
      <c r="FH30" s="26"/>
      <c r="FI30" s="26"/>
      <c r="FJ30" s="26"/>
      <c r="FK30" s="26"/>
      <c r="FL30" s="26"/>
      <c r="FM30" s="26"/>
      <c r="FN30" s="26"/>
      <c r="FO30" s="26"/>
      <c r="FP30" s="26"/>
      <c r="FQ30" s="26"/>
      <c r="FR30" s="26"/>
      <c r="FS30" s="26"/>
      <c r="FT30" s="26"/>
      <c r="FU30" s="26"/>
      <c r="FV30" s="26"/>
      <c r="FW30" s="26"/>
      <c r="FX30" s="26"/>
      <c r="FY30" s="26"/>
      <c r="FZ30" s="26"/>
      <c r="GA30" s="26"/>
      <c r="GB30" s="26"/>
      <c r="GC30" s="26"/>
      <c r="GD30" s="26"/>
      <c r="GE30" s="26"/>
      <c r="GF30" s="26"/>
      <c r="GG30" s="26"/>
      <c r="GH30" s="26"/>
      <c r="GI30" s="26"/>
      <c r="GJ30" s="26"/>
      <c r="GK30" s="26"/>
      <c r="GL30" s="26"/>
      <c r="GM30" s="26"/>
      <c r="GN30" s="26"/>
      <c r="GO30" s="26"/>
      <c r="GP30" s="26"/>
      <c r="GQ30" s="26"/>
      <c r="GR30" s="26"/>
      <c r="GS30" s="26"/>
      <c r="GT30" s="26"/>
      <c r="GU30" s="26"/>
      <c r="GV30" s="26"/>
      <c r="GW30" s="26"/>
      <c r="GX30" s="26"/>
      <c r="GY30" s="26"/>
      <c r="GZ30" s="26"/>
      <c r="HA30" s="26"/>
      <c r="HB30" s="26"/>
      <c r="HC30" s="26"/>
      <c r="HD30" s="26"/>
      <c r="HE30" s="26"/>
      <c r="HF30" s="26"/>
      <c r="HG30" s="26"/>
      <c r="HH30" s="26"/>
      <c r="HI30" s="26"/>
      <c r="HJ30" s="26"/>
      <c r="HK30" s="26"/>
      <c r="HL30" s="26"/>
      <c r="HM30" s="26"/>
      <c r="HN30" s="26"/>
      <c r="HO30" s="26"/>
      <c r="HP30" s="26"/>
      <c r="HQ30" s="26"/>
      <c r="HR30" s="26"/>
      <c r="HS30" s="26"/>
      <c r="HT30" s="26"/>
      <c r="HU30" s="26"/>
      <c r="HV30" s="26"/>
      <c r="HW30" s="26"/>
      <c r="HX30" s="26"/>
      <c r="HY30" s="26"/>
      <c r="HZ30" s="26"/>
      <c r="IA30" s="26"/>
      <c r="IB30" s="26"/>
      <c r="IC30" s="26"/>
      <c r="ID30" s="26"/>
      <c r="IE30" s="26"/>
      <c r="IF30" s="26"/>
      <c r="IG30" s="26"/>
      <c r="IH30" s="26"/>
      <c r="II30" s="26"/>
      <c r="IJ30" s="26"/>
      <c r="IK30" s="26"/>
      <c r="IL30" s="26"/>
      <c r="IM30" s="26"/>
      <c r="IN30" s="26"/>
      <c r="IO30" s="26"/>
      <c r="IP30" s="26"/>
      <c r="IQ30" s="26"/>
      <c r="IR30" s="26"/>
      <c r="IS30" s="26"/>
      <c r="IT30" s="26"/>
    </row>
    <row r="31" spans="1:254" x14ac:dyDescent="0.3">
      <c r="A31" s="30" t="s">
        <v>16</v>
      </c>
      <c r="B31" s="31" t="s">
        <v>80</v>
      </c>
      <c r="C31" s="49"/>
      <c r="D31" s="50"/>
      <c r="E31" s="49">
        <v>2000</v>
      </c>
      <c r="F31" s="51"/>
      <c r="G31" s="51"/>
      <c r="H31" s="51"/>
      <c r="I31" s="51"/>
      <c r="J31" s="51"/>
      <c r="K31" s="51"/>
      <c r="L31" s="51"/>
      <c r="M31" s="51"/>
      <c r="N31" s="51"/>
    </row>
    <row r="32" spans="1:254" s="47" customFormat="1" x14ac:dyDescent="0.3">
      <c r="A32" s="30" t="s">
        <v>81</v>
      </c>
      <c r="B32" s="31" t="s">
        <v>82</v>
      </c>
      <c r="C32" s="49"/>
      <c r="D32" s="50"/>
      <c r="E32" s="49">
        <v>2500</v>
      </c>
      <c r="F32" s="51"/>
      <c r="G32" s="51"/>
      <c r="H32" s="51"/>
      <c r="I32" s="51"/>
      <c r="J32" s="51"/>
      <c r="K32" s="51"/>
      <c r="L32" s="51"/>
      <c r="M32" s="51"/>
      <c r="N32" s="51"/>
      <c r="O32" s="26"/>
      <c r="P32" s="26"/>
      <c r="Q32" s="26"/>
      <c r="R32" s="26"/>
      <c r="S32" s="26"/>
      <c r="T32" s="26"/>
      <c r="U32" s="26"/>
      <c r="V32" s="26"/>
      <c r="W32" s="26"/>
      <c r="X32" s="26"/>
      <c r="Y32" s="26"/>
      <c r="Z32" s="26"/>
      <c r="AA32" s="26"/>
      <c r="AB32" s="26"/>
      <c r="AC32" s="26"/>
      <c r="AD32" s="26"/>
      <c r="AE32" s="26"/>
      <c r="AF32" s="26"/>
      <c r="AG32" s="26"/>
      <c r="AH32" s="26"/>
      <c r="AI32" s="26"/>
      <c r="AJ32" s="26"/>
      <c r="AK32" s="26"/>
      <c r="AL32" s="26"/>
      <c r="AM32" s="26"/>
      <c r="AN32" s="26"/>
      <c r="AO32" s="26"/>
      <c r="AP32" s="26"/>
      <c r="AQ32" s="26"/>
      <c r="AR32" s="26"/>
      <c r="AS32" s="26"/>
      <c r="AT32" s="26"/>
      <c r="AU32" s="26"/>
      <c r="AV32" s="26"/>
      <c r="AW32" s="26"/>
      <c r="AX32" s="26"/>
      <c r="AY32" s="26"/>
      <c r="AZ32" s="26"/>
      <c r="BA32" s="26"/>
      <c r="BB32" s="26"/>
      <c r="BC32" s="26"/>
      <c r="BD32" s="26"/>
      <c r="BE32" s="26"/>
      <c r="BF32" s="26"/>
      <c r="BG32" s="26"/>
      <c r="BH32" s="26"/>
      <c r="BI32" s="26"/>
      <c r="BJ32" s="26"/>
      <c r="BK32" s="26"/>
      <c r="BL32" s="26"/>
      <c r="BM32" s="26"/>
      <c r="BN32" s="26"/>
      <c r="BO32" s="26"/>
      <c r="BP32" s="26"/>
      <c r="BQ32" s="26"/>
      <c r="BR32" s="26"/>
      <c r="BS32" s="26"/>
      <c r="BT32" s="26"/>
      <c r="BU32" s="26"/>
      <c r="BV32" s="26"/>
      <c r="BW32" s="26"/>
      <c r="BX32" s="26"/>
      <c r="BY32" s="26"/>
      <c r="BZ32" s="26"/>
      <c r="CA32" s="26"/>
      <c r="CB32" s="26"/>
      <c r="CC32" s="26"/>
      <c r="CD32" s="26"/>
      <c r="CE32" s="26"/>
      <c r="CF32" s="26"/>
      <c r="CG32" s="26"/>
      <c r="CH32" s="26"/>
      <c r="CI32" s="26"/>
      <c r="CJ32" s="26"/>
      <c r="CK32" s="26"/>
      <c r="CL32" s="26"/>
      <c r="CM32" s="26"/>
      <c r="CN32" s="26"/>
      <c r="CO32" s="26"/>
      <c r="CP32" s="26"/>
      <c r="CQ32" s="26"/>
      <c r="CR32" s="26"/>
      <c r="CS32" s="26"/>
      <c r="CT32" s="26"/>
      <c r="CU32" s="26"/>
      <c r="CV32" s="26"/>
      <c r="CW32" s="26"/>
      <c r="CX32" s="26"/>
      <c r="CY32" s="26"/>
      <c r="CZ32" s="26"/>
      <c r="DA32" s="26"/>
      <c r="DB32" s="26"/>
      <c r="DC32" s="26"/>
      <c r="DD32" s="26"/>
      <c r="DE32" s="26"/>
      <c r="DF32" s="26"/>
      <c r="DG32" s="26"/>
      <c r="DH32" s="26"/>
      <c r="DI32" s="26"/>
      <c r="DJ32" s="26"/>
      <c r="DK32" s="26"/>
      <c r="DL32" s="26"/>
      <c r="DM32" s="26"/>
      <c r="DN32" s="26"/>
      <c r="DO32" s="26"/>
      <c r="DP32" s="26"/>
      <c r="DQ32" s="26"/>
      <c r="DR32" s="26"/>
      <c r="DS32" s="26"/>
      <c r="DT32" s="26"/>
      <c r="DU32" s="26"/>
      <c r="DV32" s="26"/>
      <c r="DW32" s="26"/>
      <c r="DX32" s="26"/>
      <c r="DY32" s="26"/>
      <c r="DZ32" s="26"/>
      <c r="EA32" s="26"/>
      <c r="EB32" s="26"/>
      <c r="EC32" s="26"/>
      <c r="ED32" s="26"/>
      <c r="EE32" s="26"/>
      <c r="EF32" s="26"/>
      <c r="EG32" s="26"/>
      <c r="EH32" s="26"/>
      <c r="EI32" s="26"/>
      <c r="EJ32" s="26"/>
      <c r="EK32" s="26"/>
      <c r="EL32" s="26"/>
      <c r="EM32" s="26"/>
      <c r="EN32" s="26"/>
      <c r="EO32" s="26"/>
      <c r="EP32" s="26"/>
      <c r="EQ32" s="26"/>
      <c r="ER32" s="26"/>
      <c r="ES32" s="26"/>
      <c r="ET32" s="26"/>
      <c r="EU32" s="26"/>
      <c r="EV32" s="26"/>
      <c r="EW32" s="26"/>
      <c r="EX32" s="26"/>
      <c r="EY32" s="26"/>
      <c r="EZ32" s="26"/>
      <c r="FA32" s="26"/>
      <c r="FB32" s="26"/>
      <c r="FC32" s="26"/>
      <c r="FD32" s="26"/>
      <c r="FE32" s="26"/>
      <c r="FF32" s="26"/>
      <c r="FG32" s="26"/>
      <c r="FH32" s="26"/>
      <c r="FI32" s="26"/>
      <c r="FJ32" s="26"/>
      <c r="FK32" s="26"/>
      <c r="FL32" s="26"/>
      <c r="FM32" s="26"/>
      <c r="FN32" s="26"/>
      <c r="FO32" s="26"/>
      <c r="FP32" s="26"/>
      <c r="FQ32" s="26"/>
      <c r="FR32" s="26"/>
      <c r="FS32" s="26"/>
      <c r="FT32" s="26"/>
      <c r="FU32" s="26"/>
      <c r="FV32" s="26"/>
      <c r="FW32" s="26"/>
      <c r="FX32" s="26"/>
      <c r="FY32" s="26"/>
      <c r="FZ32" s="26"/>
      <c r="GA32" s="26"/>
      <c r="GB32" s="26"/>
      <c r="GC32" s="26"/>
      <c r="GD32" s="26"/>
      <c r="GE32" s="26"/>
      <c r="GF32" s="26"/>
      <c r="GG32" s="26"/>
      <c r="GH32" s="26"/>
      <c r="GI32" s="26"/>
      <c r="GJ32" s="26"/>
      <c r="GK32" s="26"/>
      <c r="GL32" s="26"/>
      <c r="GM32" s="26"/>
      <c r="GN32" s="26"/>
      <c r="GO32" s="26"/>
      <c r="GP32" s="26"/>
      <c r="GQ32" s="26"/>
      <c r="GR32" s="26"/>
      <c r="GS32" s="26"/>
      <c r="GT32" s="26"/>
      <c r="GU32" s="26"/>
      <c r="GV32" s="26"/>
      <c r="GW32" s="26"/>
      <c r="GX32" s="26"/>
      <c r="GY32" s="26"/>
      <c r="GZ32" s="26"/>
      <c r="HA32" s="26"/>
      <c r="HB32" s="26"/>
      <c r="HC32" s="26"/>
      <c r="HD32" s="26"/>
      <c r="HE32" s="26"/>
      <c r="HF32" s="26"/>
      <c r="HG32" s="26"/>
      <c r="HH32" s="26"/>
      <c r="HI32" s="26"/>
      <c r="HJ32" s="26"/>
      <c r="HK32" s="26"/>
      <c r="HL32" s="26"/>
      <c r="HM32" s="26"/>
      <c r="HN32" s="26"/>
      <c r="HO32" s="26"/>
      <c r="HP32" s="26"/>
      <c r="HQ32" s="26"/>
      <c r="HR32" s="26"/>
      <c r="HS32" s="26"/>
      <c r="HT32" s="26"/>
      <c r="HU32" s="26"/>
      <c r="HV32" s="26"/>
      <c r="HW32" s="26"/>
      <c r="HX32" s="26"/>
      <c r="HY32" s="26"/>
      <c r="HZ32" s="26"/>
      <c r="IA32" s="26"/>
      <c r="IB32" s="26"/>
      <c r="IC32" s="26"/>
      <c r="ID32" s="26"/>
      <c r="IE32" s="26"/>
      <c r="IF32" s="26"/>
      <c r="IG32" s="26"/>
      <c r="IH32" s="26"/>
      <c r="II32" s="26"/>
      <c r="IJ32" s="26"/>
      <c r="IK32" s="26"/>
      <c r="IL32" s="26"/>
      <c r="IM32" s="26"/>
      <c r="IN32" s="26"/>
      <c r="IO32" s="26"/>
      <c r="IP32" s="26"/>
      <c r="IQ32" s="26"/>
      <c r="IR32" s="26"/>
      <c r="IS32" s="26"/>
      <c r="IT32" s="26"/>
    </row>
    <row r="33" spans="1:254" s="48" customFormat="1" x14ac:dyDescent="0.3">
      <c r="A33" s="30" t="s">
        <v>83</v>
      </c>
      <c r="B33" s="31" t="s">
        <v>84</v>
      </c>
      <c r="C33" s="49"/>
      <c r="D33" s="50"/>
      <c r="E33" s="49">
        <v>2500</v>
      </c>
      <c r="F33" s="51"/>
      <c r="G33" s="51"/>
      <c r="H33" s="51"/>
      <c r="I33" s="51"/>
      <c r="J33" s="51"/>
      <c r="K33" s="51"/>
      <c r="L33" s="51"/>
      <c r="M33" s="51"/>
      <c r="N33" s="51"/>
      <c r="O33" s="26"/>
      <c r="P33" s="26"/>
      <c r="Q33" s="26"/>
      <c r="R33" s="26"/>
      <c r="S33" s="26"/>
      <c r="T33" s="26"/>
      <c r="U33" s="26"/>
      <c r="V33" s="26"/>
      <c r="W33" s="26"/>
      <c r="X33" s="26"/>
      <c r="Y33" s="26"/>
      <c r="Z33" s="26"/>
      <c r="AA33" s="26"/>
      <c r="AB33" s="26"/>
      <c r="AC33" s="26"/>
      <c r="AD33" s="26"/>
      <c r="AE33" s="26"/>
      <c r="AF33" s="26"/>
      <c r="AG33" s="26"/>
      <c r="AH33" s="26"/>
      <c r="AI33" s="26"/>
      <c r="AJ33" s="26"/>
      <c r="AK33" s="26"/>
      <c r="AL33" s="26"/>
      <c r="AM33" s="26"/>
      <c r="AN33" s="26"/>
      <c r="AO33" s="26"/>
      <c r="AP33" s="26"/>
      <c r="AQ33" s="26"/>
      <c r="AR33" s="26"/>
      <c r="AS33" s="26"/>
      <c r="AT33" s="26"/>
      <c r="AU33" s="26"/>
      <c r="AV33" s="26"/>
      <c r="AW33" s="26"/>
      <c r="AX33" s="26"/>
      <c r="AY33" s="26"/>
      <c r="AZ33" s="26"/>
      <c r="BA33" s="26"/>
      <c r="BB33" s="26"/>
      <c r="BC33" s="26"/>
      <c r="BD33" s="26"/>
      <c r="BE33" s="26"/>
      <c r="BF33" s="26"/>
      <c r="BG33" s="26"/>
      <c r="BH33" s="26"/>
      <c r="BI33" s="26"/>
      <c r="BJ33" s="26"/>
      <c r="BK33" s="26"/>
      <c r="BL33" s="26"/>
      <c r="BM33" s="26"/>
      <c r="BN33" s="26"/>
      <c r="BO33" s="26"/>
      <c r="BP33" s="26"/>
      <c r="BQ33" s="26"/>
      <c r="BR33" s="26"/>
      <c r="BS33" s="26"/>
      <c r="BT33" s="26"/>
      <c r="BU33" s="26"/>
      <c r="BV33" s="26"/>
      <c r="BW33" s="26"/>
      <c r="BX33" s="26"/>
      <c r="BY33" s="26"/>
      <c r="BZ33" s="26"/>
      <c r="CA33" s="26"/>
      <c r="CB33" s="26"/>
      <c r="CC33" s="26"/>
      <c r="CD33" s="26"/>
      <c r="CE33" s="26"/>
      <c r="CF33" s="26"/>
      <c r="CG33" s="26"/>
      <c r="CH33" s="26"/>
      <c r="CI33" s="26"/>
      <c r="CJ33" s="26"/>
      <c r="CK33" s="26"/>
      <c r="CL33" s="26"/>
      <c r="CM33" s="26"/>
      <c r="CN33" s="26"/>
      <c r="CO33" s="26"/>
      <c r="CP33" s="26"/>
      <c r="CQ33" s="26"/>
      <c r="CR33" s="26"/>
      <c r="CS33" s="26"/>
      <c r="CT33" s="26"/>
      <c r="CU33" s="26"/>
      <c r="CV33" s="26"/>
      <c r="CW33" s="26"/>
      <c r="CX33" s="26"/>
      <c r="CY33" s="26"/>
      <c r="CZ33" s="26"/>
      <c r="DA33" s="26"/>
      <c r="DB33" s="26"/>
      <c r="DC33" s="26"/>
      <c r="DD33" s="26"/>
      <c r="DE33" s="26"/>
      <c r="DF33" s="26"/>
      <c r="DG33" s="26"/>
      <c r="DH33" s="26"/>
      <c r="DI33" s="26"/>
      <c r="DJ33" s="26"/>
      <c r="DK33" s="26"/>
      <c r="DL33" s="26"/>
      <c r="DM33" s="26"/>
      <c r="DN33" s="26"/>
      <c r="DO33" s="26"/>
      <c r="DP33" s="26"/>
      <c r="DQ33" s="26"/>
      <c r="DR33" s="26"/>
      <c r="DS33" s="26"/>
      <c r="DT33" s="26"/>
      <c r="DU33" s="26"/>
      <c r="DV33" s="26"/>
      <c r="DW33" s="26"/>
      <c r="DX33" s="26"/>
      <c r="DY33" s="26"/>
      <c r="DZ33" s="26"/>
      <c r="EA33" s="26"/>
      <c r="EB33" s="26"/>
      <c r="EC33" s="26"/>
      <c r="ED33" s="26"/>
      <c r="EE33" s="26"/>
      <c r="EF33" s="26"/>
      <c r="EG33" s="26"/>
      <c r="EH33" s="26"/>
      <c r="EI33" s="26"/>
      <c r="EJ33" s="26"/>
      <c r="EK33" s="26"/>
      <c r="EL33" s="26"/>
      <c r="EM33" s="26"/>
      <c r="EN33" s="26"/>
      <c r="EO33" s="26"/>
      <c r="EP33" s="26"/>
      <c r="EQ33" s="26"/>
      <c r="ER33" s="26"/>
      <c r="ES33" s="26"/>
      <c r="ET33" s="26"/>
      <c r="EU33" s="26"/>
      <c r="EV33" s="26"/>
      <c r="EW33" s="26"/>
      <c r="EX33" s="26"/>
      <c r="EY33" s="26"/>
      <c r="EZ33" s="26"/>
      <c r="FA33" s="26"/>
      <c r="FB33" s="26"/>
      <c r="FC33" s="26"/>
      <c r="FD33" s="26"/>
      <c r="FE33" s="26"/>
      <c r="FF33" s="26"/>
      <c r="FG33" s="26"/>
      <c r="FH33" s="26"/>
      <c r="FI33" s="26"/>
      <c r="FJ33" s="26"/>
      <c r="FK33" s="26"/>
      <c r="FL33" s="26"/>
      <c r="FM33" s="26"/>
      <c r="FN33" s="26"/>
      <c r="FO33" s="26"/>
      <c r="FP33" s="26"/>
      <c r="FQ33" s="26"/>
      <c r="FR33" s="26"/>
      <c r="FS33" s="26"/>
      <c r="FT33" s="26"/>
      <c r="FU33" s="26"/>
      <c r="FV33" s="26"/>
      <c r="FW33" s="26"/>
      <c r="FX33" s="26"/>
      <c r="FY33" s="26"/>
      <c r="FZ33" s="26"/>
      <c r="GA33" s="26"/>
      <c r="GB33" s="26"/>
      <c r="GC33" s="26"/>
      <c r="GD33" s="26"/>
      <c r="GE33" s="26"/>
      <c r="GF33" s="26"/>
      <c r="GG33" s="26"/>
      <c r="GH33" s="26"/>
      <c r="GI33" s="26"/>
      <c r="GJ33" s="26"/>
      <c r="GK33" s="26"/>
      <c r="GL33" s="26"/>
      <c r="GM33" s="26"/>
      <c r="GN33" s="26"/>
      <c r="GO33" s="26"/>
      <c r="GP33" s="26"/>
      <c r="GQ33" s="26"/>
      <c r="GR33" s="26"/>
      <c r="GS33" s="26"/>
      <c r="GT33" s="26"/>
      <c r="GU33" s="26"/>
      <c r="GV33" s="26"/>
      <c r="GW33" s="26"/>
      <c r="GX33" s="26"/>
      <c r="GY33" s="26"/>
      <c r="GZ33" s="26"/>
      <c r="HA33" s="26"/>
      <c r="HB33" s="26"/>
      <c r="HC33" s="26"/>
      <c r="HD33" s="26"/>
      <c r="HE33" s="26"/>
      <c r="HF33" s="26"/>
      <c r="HG33" s="26"/>
      <c r="HH33" s="26"/>
      <c r="HI33" s="26"/>
      <c r="HJ33" s="26"/>
      <c r="HK33" s="26"/>
      <c r="HL33" s="26"/>
      <c r="HM33" s="26"/>
      <c r="HN33" s="26"/>
      <c r="HO33" s="26"/>
      <c r="HP33" s="26"/>
      <c r="HQ33" s="26"/>
      <c r="HR33" s="26"/>
      <c r="HS33" s="26"/>
      <c r="HT33" s="26"/>
      <c r="HU33" s="26"/>
      <c r="HV33" s="26"/>
      <c r="HW33" s="26"/>
      <c r="HX33" s="26"/>
      <c r="HY33" s="26"/>
      <c r="HZ33" s="26"/>
      <c r="IA33" s="26"/>
      <c r="IB33" s="26"/>
      <c r="IC33" s="26"/>
      <c r="ID33" s="26"/>
      <c r="IE33" s="26"/>
      <c r="IF33" s="26"/>
      <c r="IG33" s="26"/>
      <c r="IH33" s="26"/>
      <c r="II33" s="26"/>
      <c r="IJ33" s="26"/>
      <c r="IK33" s="26"/>
      <c r="IL33" s="26"/>
      <c r="IM33" s="26"/>
      <c r="IN33" s="26"/>
      <c r="IO33" s="26"/>
      <c r="IP33" s="26"/>
      <c r="IQ33" s="26"/>
      <c r="IR33" s="26"/>
      <c r="IS33" s="26"/>
      <c r="IT33" s="26"/>
    </row>
    <row r="34" spans="1:254" s="48" customFormat="1" x14ac:dyDescent="0.3">
      <c r="A34" s="30" t="s">
        <v>85</v>
      </c>
      <c r="B34" s="31" t="s">
        <v>86</v>
      </c>
      <c r="C34" s="49"/>
      <c r="D34" s="50"/>
      <c r="E34" s="49">
        <v>2000</v>
      </c>
      <c r="F34" s="51"/>
      <c r="G34" s="51"/>
      <c r="H34" s="51"/>
      <c r="I34" s="51"/>
      <c r="J34" s="51"/>
      <c r="K34" s="51"/>
      <c r="L34" s="51"/>
      <c r="M34" s="51"/>
      <c r="N34" s="51"/>
      <c r="O34" s="26"/>
      <c r="P34" s="26"/>
      <c r="Q34" s="26"/>
      <c r="R34" s="26"/>
      <c r="S34" s="26"/>
      <c r="T34" s="26"/>
      <c r="U34" s="26"/>
      <c r="V34" s="26"/>
      <c r="W34" s="26"/>
      <c r="X34" s="26"/>
      <c r="Y34" s="26"/>
      <c r="Z34" s="26"/>
      <c r="AA34" s="26"/>
      <c r="AB34" s="26"/>
      <c r="AC34" s="26"/>
      <c r="AD34" s="26"/>
      <c r="AE34" s="26"/>
      <c r="AF34" s="26"/>
      <c r="AG34" s="26"/>
      <c r="AH34" s="26"/>
      <c r="AI34" s="26"/>
      <c r="AJ34" s="26"/>
      <c r="AK34" s="26"/>
      <c r="AL34" s="26"/>
      <c r="AM34" s="26"/>
      <c r="AN34" s="26"/>
      <c r="AO34" s="26"/>
      <c r="AP34" s="26"/>
      <c r="AQ34" s="26"/>
      <c r="AR34" s="26"/>
      <c r="AS34" s="26"/>
      <c r="AT34" s="26"/>
      <c r="AU34" s="26"/>
      <c r="AV34" s="26"/>
      <c r="AW34" s="26"/>
      <c r="AX34" s="26"/>
      <c r="AY34" s="26"/>
      <c r="AZ34" s="26"/>
      <c r="BA34" s="26"/>
      <c r="BB34" s="26"/>
      <c r="BC34" s="26"/>
      <c r="BD34" s="26"/>
      <c r="BE34" s="26"/>
      <c r="BF34" s="26"/>
      <c r="BG34" s="26"/>
      <c r="BH34" s="26"/>
      <c r="BI34" s="26"/>
      <c r="BJ34" s="26"/>
      <c r="BK34" s="26"/>
      <c r="BL34" s="26"/>
      <c r="BM34" s="26"/>
      <c r="BN34" s="26"/>
      <c r="BO34" s="26"/>
      <c r="BP34" s="26"/>
      <c r="BQ34" s="26"/>
      <c r="BR34" s="26"/>
      <c r="BS34" s="26"/>
      <c r="BT34" s="26"/>
      <c r="BU34" s="26"/>
      <c r="BV34" s="26"/>
      <c r="BW34" s="26"/>
      <c r="BX34" s="26"/>
      <c r="BY34" s="26"/>
      <c r="BZ34" s="26"/>
      <c r="CA34" s="26"/>
      <c r="CB34" s="26"/>
      <c r="CC34" s="26"/>
      <c r="CD34" s="26"/>
      <c r="CE34" s="26"/>
      <c r="CF34" s="26"/>
      <c r="CG34" s="26"/>
      <c r="CH34" s="26"/>
      <c r="CI34" s="26"/>
      <c r="CJ34" s="26"/>
      <c r="CK34" s="26"/>
      <c r="CL34" s="26"/>
      <c r="CM34" s="26"/>
      <c r="CN34" s="26"/>
      <c r="CO34" s="26"/>
      <c r="CP34" s="26"/>
      <c r="CQ34" s="26"/>
      <c r="CR34" s="26"/>
      <c r="CS34" s="26"/>
      <c r="CT34" s="26"/>
      <c r="CU34" s="26"/>
      <c r="CV34" s="26"/>
      <c r="CW34" s="26"/>
      <c r="CX34" s="26"/>
      <c r="CY34" s="26"/>
      <c r="CZ34" s="26"/>
      <c r="DA34" s="26"/>
      <c r="DB34" s="26"/>
      <c r="DC34" s="26"/>
      <c r="DD34" s="26"/>
      <c r="DE34" s="26"/>
      <c r="DF34" s="26"/>
      <c r="DG34" s="26"/>
      <c r="DH34" s="26"/>
      <c r="DI34" s="26"/>
      <c r="DJ34" s="26"/>
      <c r="DK34" s="26"/>
      <c r="DL34" s="26"/>
      <c r="DM34" s="26"/>
      <c r="DN34" s="26"/>
      <c r="DO34" s="26"/>
      <c r="DP34" s="26"/>
      <c r="DQ34" s="26"/>
      <c r="DR34" s="26"/>
      <c r="DS34" s="26"/>
      <c r="DT34" s="26"/>
      <c r="DU34" s="26"/>
      <c r="DV34" s="26"/>
      <c r="DW34" s="26"/>
      <c r="DX34" s="26"/>
      <c r="DY34" s="26"/>
      <c r="DZ34" s="26"/>
      <c r="EA34" s="26"/>
      <c r="EB34" s="26"/>
      <c r="EC34" s="26"/>
      <c r="ED34" s="26"/>
      <c r="EE34" s="26"/>
      <c r="EF34" s="26"/>
      <c r="EG34" s="26"/>
      <c r="EH34" s="26"/>
      <c r="EI34" s="26"/>
      <c r="EJ34" s="26"/>
      <c r="EK34" s="26"/>
      <c r="EL34" s="26"/>
      <c r="EM34" s="26"/>
      <c r="EN34" s="26"/>
      <c r="EO34" s="26"/>
      <c r="EP34" s="26"/>
      <c r="EQ34" s="26"/>
      <c r="ER34" s="26"/>
      <c r="ES34" s="26"/>
      <c r="ET34" s="26"/>
      <c r="EU34" s="26"/>
      <c r="EV34" s="26"/>
      <c r="EW34" s="26"/>
      <c r="EX34" s="26"/>
      <c r="EY34" s="26"/>
      <c r="EZ34" s="26"/>
      <c r="FA34" s="26"/>
      <c r="FB34" s="26"/>
      <c r="FC34" s="26"/>
      <c r="FD34" s="26"/>
      <c r="FE34" s="26"/>
      <c r="FF34" s="26"/>
      <c r="FG34" s="26"/>
      <c r="FH34" s="26"/>
      <c r="FI34" s="26"/>
      <c r="FJ34" s="26"/>
      <c r="FK34" s="26"/>
      <c r="FL34" s="26"/>
      <c r="FM34" s="26"/>
      <c r="FN34" s="26"/>
      <c r="FO34" s="26"/>
      <c r="FP34" s="26"/>
      <c r="FQ34" s="26"/>
      <c r="FR34" s="26"/>
      <c r="FS34" s="26"/>
      <c r="FT34" s="26"/>
      <c r="FU34" s="26"/>
      <c r="FV34" s="26"/>
      <c r="FW34" s="26"/>
      <c r="FX34" s="26"/>
      <c r="FY34" s="26"/>
      <c r="FZ34" s="26"/>
      <c r="GA34" s="26"/>
      <c r="GB34" s="26"/>
      <c r="GC34" s="26"/>
      <c r="GD34" s="26"/>
      <c r="GE34" s="26"/>
      <c r="GF34" s="26"/>
      <c r="GG34" s="26"/>
      <c r="GH34" s="26"/>
      <c r="GI34" s="26"/>
      <c r="GJ34" s="26"/>
      <c r="GK34" s="26"/>
      <c r="GL34" s="26"/>
      <c r="GM34" s="26"/>
      <c r="GN34" s="26"/>
      <c r="GO34" s="26"/>
      <c r="GP34" s="26"/>
      <c r="GQ34" s="26"/>
      <c r="GR34" s="26"/>
      <c r="GS34" s="26"/>
      <c r="GT34" s="26"/>
      <c r="GU34" s="26"/>
      <c r="GV34" s="26"/>
      <c r="GW34" s="26"/>
      <c r="GX34" s="26"/>
      <c r="GY34" s="26"/>
      <c r="GZ34" s="26"/>
      <c r="HA34" s="26"/>
      <c r="HB34" s="26"/>
      <c r="HC34" s="26"/>
      <c r="HD34" s="26"/>
      <c r="HE34" s="26"/>
      <c r="HF34" s="26"/>
      <c r="HG34" s="26"/>
      <c r="HH34" s="26"/>
      <c r="HI34" s="26"/>
      <c r="HJ34" s="26"/>
      <c r="HK34" s="26"/>
      <c r="HL34" s="26"/>
      <c r="HM34" s="26"/>
      <c r="HN34" s="26"/>
      <c r="HO34" s="26"/>
      <c r="HP34" s="26"/>
      <c r="HQ34" s="26"/>
      <c r="HR34" s="26"/>
      <c r="HS34" s="26"/>
      <c r="HT34" s="26"/>
      <c r="HU34" s="26"/>
      <c r="HV34" s="26"/>
      <c r="HW34" s="26"/>
      <c r="HX34" s="26"/>
      <c r="HY34" s="26"/>
      <c r="HZ34" s="26"/>
      <c r="IA34" s="26"/>
      <c r="IB34" s="26"/>
      <c r="IC34" s="26"/>
      <c r="ID34" s="26"/>
      <c r="IE34" s="26"/>
      <c r="IF34" s="26"/>
      <c r="IG34" s="26"/>
      <c r="IH34" s="26"/>
      <c r="II34" s="26"/>
      <c r="IJ34" s="26"/>
      <c r="IK34" s="26"/>
      <c r="IL34" s="26"/>
      <c r="IM34" s="26"/>
      <c r="IN34" s="26"/>
      <c r="IO34" s="26"/>
      <c r="IP34" s="26"/>
      <c r="IQ34" s="26"/>
      <c r="IR34" s="26"/>
      <c r="IS34" s="26"/>
      <c r="IT34" s="26"/>
    </row>
    <row r="35" spans="1:254" s="48" customFormat="1" x14ac:dyDescent="0.3">
      <c r="A35" s="42">
        <v>2.2000000000000002</v>
      </c>
      <c r="B35" s="43" t="s">
        <v>64</v>
      </c>
      <c r="C35" s="44"/>
      <c r="D35" s="45"/>
      <c r="E35" s="44"/>
      <c r="F35" s="46"/>
      <c r="G35" s="46"/>
      <c r="H35" s="46"/>
      <c r="I35" s="46"/>
      <c r="J35" s="46"/>
      <c r="K35" s="46"/>
      <c r="L35" s="46"/>
      <c r="M35" s="46"/>
      <c r="N35" s="46"/>
      <c r="O35" s="26"/>
      <c r="P35" s="26"/>
      <c r="Q35" s="26"/>
      <c r="R35" s="26"/>
      <c r="S35" s="26"/>
      <c r="T35" s="26"/>
      <c r="U35" s="26"/>
      <c r="V35" s="26"/>
      <c r="W35" s="26"/>
      <c r="X35" s="26"/>
      <c r="Y35" s="26"/>
      <c r="Z35" s="26"/>
      <c r="AA35" s="26"/>
      <c r="AB35" s="26"/>
      <c r="AC35" s="26"/>
      <c r="AD35" s="26"/>
      <c r="AE35" s="26"/>
      <c r="AF35" s="26"/>
      <c r="AG35" s="26"/>
      <c r="AH35" s="26"/>
      <c r="AI35" s="26"/>
      <c r="AJ35" s="26"/>
      <c r="AK35" s="26"/>
      <c r="AL35" s="26"/>
      <c r="AM35" s="26"/>
      <c r="AN35" s="26"/>
      <c r="AO35" s="26"/>
      <c r="AP35" s="26"/>
      <c r="AQ35" s="26"/>
      <c r="AR35" s="26"/>
      <c r="AS35" s="26"/>
      <c r="AT35" s="26"/>
      <c r="AU35" s="26"/>
      <c r="AV35" s="26"/>
      <c r="AW35" s="26"/>
      <c r="AX35" s="26"/>
      <c r="AY35" s="26"/>
      <c r="AZ35" s="26"/>
      <c r="BA35" s="26"/>
      <c r="BB35" s="26"/>
      <c r="BC35" s="26"/>
      <c r="BD35" s="26"/>
      <c r="BE35" s="26"/>
      <c r="BF35" s="26"/>
      <c r="BG35" s="26"/>
      <c r="BH35" s="26"/>
      <c r="BI35" s="26"/>
      <c r="BJ35" s="26"/>
      <c r="BK35" s="26"/>
      <c r="BL35" s="26"/>
      <c r="BM35" s="26"/>
      <c r="BN35" s="26"/>
      <c r="BO35" s="26"/>
      <c r="BP35" s="26"/>
      <c r="BQ35" s="26"/>
      <c r="BR35" s="26"/>
      <c r="BS35" s="26"/>
      <c r="BT35" s="26"/>
      <c r="BU35" s="26"/>
      <c r="BV35" s="26"/>
      <c r="BW35" s="26"/>
      <c r="BX35" s="26"/>
      <c r="BY35" s="26"/>
      <c r="BZ35" s="26"/>
      <c r="CA35" s="26"/>
      <c r="CB35" s="26"/>
      <c r="CC35" s="26"/>
      <c r="CD35" s="26"/>
      <c r="CE35" s="26"/>
      <c r="CF35" s="26"/>
      <c r="CG35" s="26"/>
      <c r="CH35" s="26"/>
      <c r="CI35" s="26"/>
      <c r="CJ35" s="26"/>
      <c r="CK35" s="26"/>
      <c r="CL35" s="26"/>
      <c r="CM35" s="26"/>
      <c r="CN35" s="26"/>
      <c r="CO35" s="26"/>
      <c r="CP35" s="26"/>
      <c r="CQ35" s="26"/>
      <c r="CR35" s="26"/>
      <c r="CS35" s="26"/>
      <c r="CT35" s="26"/>
      <c r="CU35" s="26"/>
      <c r="CV35" s="26"/>
      <c r="CW35" s="26"/>
      <c r="CX35" s="26"/>
      <c r="CY35" s="26"/>
      <c r="CZ35" s="26"/>
      <c r="DA35" s="26"/>
      <c r="DB35" s="26"/>
      <c r="DC35" s="26"/>
      <c r="DD35" s="26"/>
      <c r="DE35" s="26"/>
      <c r="DF35" s="26"/>
      <c r="DG35" s="26"/>
      <c r="DH35" s="26"/>
      <c r="DI35" s="26"/>
      <c r="DJ35" s="26"/>
      <c r="DK35" s="26"/>
      <c r="DL35" s="26"/>
      <c r="DM35" s="26"/>
      <c r="DN35" s="26"/>
      <c r="DO35" s="26"/>
      <c r="DP35" s="26"/>
      <c r="DQ35" s="26"/>
      <c r="DR35" s="26"/>
      <c r="DS35" s="26"/>
      <c r="DT35" s="26"/>
      <c r="DU35" s="26"/>
      <c r="DV35" s="26"/>
      <c r="DW35" s="26"/>
      <c r="DX35" s="26"/>
      <c r="DY35" s="26"/>
      <c r="DZ35" s="26"/>
      <c r="EA35" s="26"/>
      <c r="EB35" s="26"/>
      <c r="EC35" s="26"/>
      <c r="ED35" s="26"/>
      <c r="EE35" s="26"/>
      <c r="EF35" s="26"/>
      <c r="EG35" s="26"/>
      <c r="EH35" s="26"/>
      <c r="EI35" s="26"/>
      <c r="EJ35" s="26"/>
      <c r="EK35" s="26"/>
      <c r="EL35" s="26"/>
      <c r="EM35" s="26"/>
      <c r="EN35" s="26"/>
      <c r="EO35" s="26"/>
      <c r="EP35" s="26"/>
      <c r="EQ35" s="26"/>
      <c r="ER35" s="26"/>
      <c r="ES35" s="26"/>
      <c r="ET35" s="26"/>
      <c r="EU35" s="26"/>
      <c r="EV35" s="26"/>
      <c r="EW35" s="26"/>
      <c r="EX35" s="26"/>
      <c r="EY35" s="26"/>
      <c r="EZ35" s="26"/>
      <c r="FA35" s="26"/>
      <c r="FB35" s="26"/>
      <c r="FC35" s="26"/>
      <c r="FD35" s="26"/>
      <c r="FE35" s="26"/>
      <c r="FF35" s="26"/>
      <c r="FG35" s="26"/>
      <c r="FH35" s="26"/>
      <c r="FI35" s="26"/>
      <c r="FJ35" s="26"/>
      <c r="FK35" s="26"/>
      <c r="FL35" s="26"/>
      <c r="FM35" s="26"/>
      <c r="FN35" s="26"/>
      <c r="FO35" s="26"/>
      <c r="FP35" s="26"/>
      <c r="FQ35" s="26"/>
      <c r="FR35" s="26"/>
      <c r="FS35" s="26"/>
      <c r="FT35" s="26"/>
      <c r="FU35" s="26"/>
      <c r="FV35" s="26"/>
      <c r="FW35" s="26"/>
      <c r="FX35" s="26"/>
      <c r="FY35" s="26"/>
      <c r="FZ35" s="26"/>
      <c r="GA35" s="26"/>
      <c r="GB35" s="26"/>
      <c r="GC35" s="26"/>
      <c r="GD35" s="26"/>
      <c r="GE35" s="26"/>
      <c r="GF35" s="26"/>
      <c r="GG35" s="26"/>
      <c r="GH35" s="26"/>
      <c r="GI35" s="26"/>
      <c r="GJ35" s="26"/>
      <c r="GK35" s="26"/>
      <c r="GL35" s="26"/>
      <c r="GM35" s="26"/>
      <c r="GN35" s="26"/>
      <c r="GO35" s="26"/>
      <c r="GP35" s="26"/>
      <c r="GQ35" s="26"/>
      <c r="GR35" s="26"/>
      <c r="GS35" s="26"/>
      <c r="GT35" s="26"/>
      <c r="GU35" s="26"/>
      <c r="GV35" s="26"/>
      <c r="GW35" s="26"/>
      <c r="GX35" s="26"/>
      <c r="GY35" s="26"/>
      <c r="GZ35" s="26"/>
      <c r="HA35" s="26"/>
      <c r="HB35" s="26"/>
      <c r="HC35" s="26"/>
      <c r="HD35" s="26"/>
      <c r="HE35" s="26"/>
      <c r="HF35" s="26"/>
      <c r="HG35" s="26"/>
      <c r="HH35" s="26"/>
      <c r="HI35" s="26"/>
      <c r="HJ35" s="26"/>
      <c r="HK35" s="26"/>
      <c r="HL35" s="26"/>
      <c r="HM35" s="26"/>
      <c r="HN35" s="26"/>
      <c r="HO35" s="26"/>
      <c r="HP35" s="26"/>
      <c r="HQ35" s="26"/>
      <c r="HR35" s="26"/>
      <c r="HS35" s="26"/>
      <c r="HT35" s="26"/>
      <c r="HU35" s="26"/>
      <c r="HV35" s="26"/>
      <c r="HW35" s="26"/>
      <c r="HX35" s="26"/>
      <c r="HY35" s="26"/>
      <c r="HZ35" s="26"/>
      <c r="IA35" s="26"/>
      <c r="IB35" s="26"/>
      <c r="IC35" s="26"/>
      <c r="ID35" s="26"/>
      <c r="IE35" s="26"/>
      <c r="IF35" s="26"/>
      <c r="IG35" s="26"/>
      <c r="IH35" s="26"/>
      <c r="II35" s="26"/>
      <c r="IJ35" s="26"/>
      <c r="IK35" s="26"/>
      <c r="IL35" s="26"/>
      <c r="IM35" s="26"/>
      <c r="IN35" s="26"/>
      <c r="IO35" s="26"/>
      <c r="IP35" s="26"/>
      <c r="IQ35" s="26"/>
      <c r="IR35" s="26"/>
      <c r="IS35" s="26"/>
      <c r="IT35" s="26"/>
    </row>
    <row r="36" spans="1:254" s="48" customFormat="1" x14ac:dyDescent="0.3">
      <c r="A36" s="30" t="s">
        <v>17</v>
      </c>
      <c r="B36" s="31" t="s">
        <v>20</v>
      </c>
      <c r="C36" s="49"/>
      <c r="D36" s="50"/>
      <c r="E36" s="49">
        <v>2500</v>
      </c>
      <c r="F36" s="51"/>
      <c r="G36" s="51"/>
      <c r="H36" s="51"/>
      <c r="I36" s="51"/>
      <c r="J36" s="51"/>
      <c r="K36" s="51"/>
      <c r="L36" s="51"/>
      <c r="M36" s="51"/>
      <c r="N36" s="51"/>
      <c r="O36" s="26"/>
      <c r="P36" s="26"/>
      <c r="Q36" s="26"/>
      <c r="R36" s="26"/>
      <c r="S36" s="26"/>
      <c r="T36" s="26"/>
      <c r="U36" s="26"/>
      <c r="V36" s="26"/>
      <c r="W36" s="26"/>
      <c r="X36" s="26"/>
      <c r="Y36" s="26"/>
      <c r="Z36" s="26"/>
      <c r="AA36" s="26"/>
      <c r="AB36" s="26"/>
      <c r="AC36" s="26"/>
      <c r="AD36" s="26"/>
      <c r="AE36" s="26"/>
      <c r="AF36" s="26"/>
      <c r="AG36" s="26"/>
      <c r="AH36" s="26"/>
      <c r="AI36" s="26"/>
      <c r="AJ36" s="26"/>
      <c r="AK36" s="26"/>
      <c r="AL36" s="26"/>
      <c r="AM36" s="26"/>
      <c r="AN36" s="26"/>
      <c r="AO36" s="26"/>
      <c r="AP36" s="26"/>
      <c r="AQ36" s="26"/>
      <c r="AR36" s="26"/>
      <c r="AS36" s="26"/>
      <c r="AT36" s="26"/>
      <c r="AU36" s="26"/>
      <c r="AV36" s="26"/>
      <c r="AW36" s="26"/>
      <c r="AX36" s="26"/>
      <c r="AY36" s="26"/>
      <c r="AZ36" s="26"/>
      <c r="BA36" s="26"/>
      <c r="BB36" s="26"/>
      <c r="BC36" s="26"/>
      <c r="BD36" s="26"/>
      <c r="BE36" s="26"/>
      <c r="BF36" s="26"/>
      <c r="BG36" s="26"/>
      <c r="BH36" s="26"/>
      <c r="BI36" s="26"/>
      <c r="BJ36" s="26"/>
      <c r="BK36" s="26"/>
      <c r="BL36" s="26"/>
      <c r="BM36" s="26"/>
      <c r="BN36" s="26"/>
      <c r="BO36" s="26"/>
      <c r="BP36" s="26"/>
      <c r="BQ36" s="26"/>
      <c r="BR36" s="26"/>
      <c r="BS36" s="26"/>
      <c r="BT36" s="26"/>
      <c r="BU36" s="26"/>
      <c r="BV36" s="26"/>
      <c r="BW36" s="26"/>
      <c r="BX36" s="26"/>
      <c r="BY36" s="26"/>
      <c r="BZ36" s="26"/>
      <c r="CA36" s="26"/>
      <c r="CB36" s="26"/>
      <c r="CC36" s="26"/>
      <c r="CD36" s="26"/>
      <c r="CE36" s="26"/>
      <c r="CF36" s="26"/>
      <c r="CG36" s="26"/>
      <c r="CH36" s="26"/>
      <c r="CI36" s="26"/>
      <c r="CJ36" s="26"/>
      <c r="CK36" s="26"/>
      <c r="CL36" s="26"/>
      <c r="CM36" s="26"/>
      <c r="CN36" s="26"/>
      <c r="CO36" s="26"/>
      <c r="CP36" s="26"/>
      <c r="CQ36" s="26"/>
      <c r="CR36" s="26"/>
      <c r="CS36" s="26"/>
      <c r="CT36" s="26"/>
      <c r="CU36" s="26"/>
      <c r="CV36" s="26"/>
      <c r="CW36" s="26"/>
      <c r="CX36" s="26"/>
      <c r="CY36" s="26"/>
      <c r="CZ36" s="26"/>
      <c r="DA36" s="26"/>
      <c r="DB36" s="26"/>
      <c r="DC36" s="26"/>
      <c r="DD36" s="26"/>
      <c r="DE36" s="26"/>
      <c r="DF36" s="26"/>
      <c r="DG36" s="26"/>
      <c r="DH36" s="26"/>
      <c r="DI36" s="26"/>
      <c r="DJ36" s="26"/>
      <c r="DK36" s="26"/>
      <c r="DL36" s="26"/>
      <c r="DM36" s="26"/>
      <c r="DN36" s="26"/>
      <c r="DO36" s="26"/>
      <c r="DP36" s="26"/>
      <c r="DQ36" s="26"/>
      <c r="DR36" s="26"/>
      <c r="DS36" s="26"/>
      <c r="DT36" s="26"/>
      <c r="DU36" s="26"/>
      <c r="DV36" s="26"/>
      <c r="DW36" s="26"/>
      <c r="DX36" s="26"/>
      <c r="DY36" s="26"/>
      <c r="DZ36" s="26"/>
      <c r="EA36" s="26"/>
      <c r="EB36" s="26"/>
      <c r="EC36" s="26"/>
      <c r="ED36" s="26"/>
      <c r="EE36" s="26"/>
      <c r="EF36" s="26"/>
      <c r="EG36" s="26"/>
      <c r="EH36" s="26"/>
      <c r="EI36" s="26"/>
      <c r="EJ36" s="26"/>
      <c r="EK36" s="26"/>
      <c r="EL36" s="26"/>
      <c r="EM36" s="26"/>
      <c r="EN36" s="26"/>
      <c r="EO36" s="26"/>
      <c r="EP36" s="26"/>
      <c r="EQ36" s="26"/>
      <c r="ER36" s="26"/>
      <c r="ES36" s="26"/>
      <c r="ET36" s="26"/>
      <c r="EU36" s="26"/>
      <c r="EV36" s="26"/>
      <c r="EW36" s="26"/>
      <c r="EX36" s="26"/>
      <c r="EY36" s="26"/>
      <c r="EZ36" s="26"/>
      <c r="FA36" s="26"/>
      <c r="FB36" s="26"/>
      <c r="FC36" s="26"/>
      <c r="FD36" s="26"/>
      <c r="FE36" s="26"/>
      <c r="FF36" s="26"/>
      <c r="FG36" s="26"/>
      <c r="FH36" s="26"/>
      <c r="FI36" s="26"/>
      <c r="FJ36" s="26"/>
      <c r="FK36" s="26"/>
      <c r="FL36" s="26"/>
      <c r="FM36" s="26"/>
      <c r="FN36" s="26"/>
      <c r="FO36" s="26"/>
      <c r="FP36" s="26"/>
      <c r="FQ36" s="26"/>
      <c r="FR36" s="26"/>
      <c r="FS36" s="26"/>
      <c r="FT36" s="26"/>
      <c r="FU36" s="26"/>
      <c r="FV36" s="26"/>
      <c r="FW36" s="26"/>
      <c r="FX36" s="26"/>
      <c r="FY36" s="26"/>
      <c r="FZ36" s="26"/>
      <c r="GA36" s="26"/>
      <c r="GB36" s="26"/>
      <c r="GC36" s="26"/>
      <c r="GD36" s="26"/>
      <c r="GE36" s="26"/>
      <c r="GF36" s="26"/>
      <c r="GG36" s="26"/>
      <c r="GH36" s="26"/>
      <c r="GI36" s="26"/>
      <c r="GJ36" s="26"/>
      <c r="GK36" s="26"/>
      <c r="GL36" s="26"/>
      <c r="GM36" s="26"/>
      <c r="GN36" s="26"/>
      <c r="GO36" s="26"/>
      <c r="GP36" s="26"/>
      <c r="GQ36" s="26"/>
      <c r="GR36" s="26"/>
      <c r="GS36" s="26"/>
      <c r="GT36" s="26"/>
      <c r="GU36" s="26"/>
      <c r="GV36" s="26"/>
      <c r="GW36" s="26"/>
      <c r="GX36" s="26"/>
      <c r="GY36" s="26"/>
      <c r="GZ36" s="26"/>
      <c r="HA36" s="26"/>
      <c r="HB36" s="26"/>
      <c r="HC36" s="26"/>
      <c r="HD36" s="26"/>
      <c r="HE36" s="26"/>
      <c r="HF36" s="26"/>
      <c r="HG36" s="26"/>
      <c r="HH36" s="26"/>
      <c r="HI36" s="26"/>
      <c r="HJ36" s="26"/>
      <c r="HK36" s="26"/>
      <c r="HL36" s="26"/>
      <c r="HM36" s="26"/>
      <c r="HN36" s="26"/>
      <c r="HO36" s="26"/>
      <c r="HP36" s="26"/>
      <c r="HQ36" s="26"/>
      <c r="HR36" s="26"/>
      <c r="HS36" s="26"/>
      <c r="HT36" s="26"/>
      <c r="HU36" s="26"/>
      <c r="HV36" s="26"/>
      <c r="HW36" s="26"/>
      <c r="HX36" s="26"/>
      <c r="HY36" s="26"/>
      <c r="HZ36" s="26"/>
      <c r="IA36" s="26"/>
      <c r="IB36" s="26"/>
      <c r="IC36" s="26"/>
      <c r="ID36" s="26"/>
      <c r="IE36" s="26"/>
      <c r="IF36" s="26"/>
      <c r="IG36" s="26"/>
      <c r="IH36" s="26"/>
      <c r="II36" s="26"/>
      <c r="IJ36" s="26"/>
      <c r="IK36" s="26"/>
      <c r="IL36" s="26"/>
      <c r="IM36" s="26"/>
      <c r="IN36" s="26"/>
      <c r="IO36" s="26"/>
      <c r="IP36" s="26"/>
      <c r="IQ36" s="26"/>
      <c r="IR36" s="26"/>
      <c r="IS36" s="26"/>
      <c r="IT36" s="26"/>
    </row>
    <row r="37" spans="1:254" s="47" customFormat="1" x14ac:dyDescent="0.3">
      <c r="A37" s="30" t="s">
        <v>18</v>
      </c>
      <c r="B37" s="31" t="s">
        <v>65</v>
      </c>
      <c r="C37" s="49"/>
      <c r="D37" s="50"/>
      <c r="E37" s="49">
        <v>2500</v>
      </c>
      <c r="F37" s="51"/>
      <c r="G37" s="51"/>
      <c r="H37" s="51"/>
      <c r="I37" s="51"/>
      <c r="J37" s="51"/>
      <c r="K37" s="51"/>
      <c r="L37" s="51"/>
      <c r="M37" s="51"/>
      <c r="N37" s="51"/>
      <c r="O37" s="26"/>
      <c r="P37" s="26"/>
      <c r="Q37" s="26"/>
      <c r="R37" s="26"/>
      <c r="S37" s="26"/>
      <c r="T37" s="26"/>
      <c r="U37" s="26"/>
      <c r="V37" s="26"/>
      <c r="W37" s="26"/>
      <c r="X37" s="26"/>
      <c r="Y37" s="26"/>
      <c r="Z37" s="26"/>
      <c r="AA37" s="26"/>
      <c r="AB37" s="26"/>
      <c r="AC37" s="26"/>
      <c r="AD37" s="26"/>
      <c r="AE37" s="26"/>
      <c r="AF37" s="26"/>
      <c r="AG37" s="26"/>
      <c r="AH37" s="26"/>
      <c r="AI37" s="26"/>
      <c r="AJ37" s="26"/>
      <c r="AK37" s="26"/>
      <c r="AL37" s="26"/>
      <c r="AM37" s="26"/>
      <c r="AN37" s="26"/>
      <c r="AO37" s="26"/>
      <c r="AP37" s="26"/>
      <c r="AQ37" s="26"/>
      <c r="AR37" s="26"/>
      <c r="AS37" s="26"/>
      <c r="AT37" s="26"/>
      <c r="AU37" s="26"/>
      <c r="AV37" s="26"/>
      <c r="AW37" s="26"/>
      <c r="AX37" s="26"/>
      <c r="AY37" s="26"/>
      <c r="AZ37" s="26"/>
      <c r="BA37" s="26"/>
      <c r="BB37" s="26"/>
      <c r="BC37" s="26"/>
      <c r="BD37" s="26"/>
      <c r="BE37" s="26"/>
      <c r="BF37" s="26"/>
      <c r="BG37" s="26"/>
      <c r="BH37" s="26"/>
      <c r="BI37" s="26"/>
      <c r="BJ37" s="26"/>
      <c r="BK37" s="26"/>
      <c r="BL37" s="26"/>
      <c r="BM37" s="26"/>
      <c r="BN37" s="26"/>
      <c r="BO37" s="26"/>
      <c r="BP37" s="26"/>
      <c r="BQ37" s="26"/>
      <c r="BR37" s="26"/>
      <c r="BS37" s="26"/>
      <c r="BT37" s="26"/>
      <c r="BU37" s="26"/>
      <c r="BV37" s="26"/>
      <c r="BW37" s="26"/>
      <c r="BX37" s="26"/>
      <c r="BY37" s="26"/>
      <c r="BZ37" s="26"/>
      <c r="CA37" s="26"/>
      <c r="CB37" s="26"/>
      <c r="CC37" s="26"/>
      <c r="CD37" s="26"/>
      <c r="CE37" s="26"/>
      <c r="CF37" s="26"/>
      <c r="CG37" s="26"/>
      <c r="CH37" s="26"/>
      <c r="CI37" s="26"/>
      <c r="CJ37" s="26"/>
      <c r="CK37" s="26"/>
      <c r="CL37" s="26"/>
      <c r="CM37" s="26"/>
      <c r="CN37" s="26"/>
      <c r="CO37" s="26"/>
      <c r="CP37" s="26"/>
      <c r="CQ37" s="26"/>
      <c r="CR37" s="26"/>
      <c r="CS37" s="26"/>
      <c r="CT37" s="26"/>
      <c r="CU37" s="26"/>
      <c r="CV37" s="26"/>
      <c r="CW37" s="26"/>
      <c r="CX37" s="26"/>
      <c r="CY37" s="26"/>
      <c r="CZ37" s="26"/>
      <c r="DA37" s="26"/>
      <c r="DB37" s="26"/>
      <c r="DC37" s="26"/>
      <c r="DD37" s="26"/>
      <c r="DE37" s="26"/>
      <c r="DF37" s="26"/>
      <c r="DG37" s="26"/>
      <c r="DH37" s="26"/>
      <c r="DI37" s="26"/>
      <c r="DJ37" s="26"/>
      <c r="DK37" s="26"/>
      <c r="DL37" s="26"/>
      <c r="DM37" s="26"/>
      <c r="DN37" s="26"/>
      <c r="DO37" s="26"/>
      <c r="DP37" s="26"/>
      <c r="DQ37" s="26"/>
      <c r="DR37" s="26"/>
      <c r="DS37" s="26"/>
      <c r="DT37" s="26"/>
      <c r="DU37" s="26"/>
      <c r="DV37" s="26"/>
      <c r="DW37" s="26"/>
      <c r="DX37" s="26"/>
      <c r="DY37" s="26"/>
      <c r="DZ37" s="26"/>
      <c r="EA37" s="26"/>
      <c r="EB37" s="26"/>
      <c r="EC37" s="26"/>
      <c r="ED37" s="26"/>
      <c r="EE37" s="26"/>
      <c r="EF37" s="26"/>
      <c r="EG37" s="26"/>
      <c r="EH37" s="26"/>
      <c r="EI37" s="26"/>
      <c r="EJ37" s="26"/>
      <c r="EK37" s="26"/>
      <c r="EL37" s="26"/>
      <c r="EM37" s="26"/>
      <c r="EN37" s="26"/>
      <c r="EO37" s="26"/>
      <c r="EP37" s="26"/>
      <c r="EQ37" s="26"/>
      <c r="ER37" s="26"/>
      <c r="ES37" s="26"/>
      <c r="ET37" s="26"/>
      <c r="EU37" s="26"/>
      <c r="EV37" s="26"/>
      <c r="EW37" s="26"/>
      <c r="EX37" s="26"/>
      <c r="EY37" s="26"/>
      <c r="EZ37" s="26"/>
      <c r="FA37" s="26"/>
      <c r="FB37" s="26"/>
      <c r="FC37" s="26"/>
      <c r="FD37" s="26"/>
      <c r="FE37" s="26"/>
      <c r="FF37" s="26"/>
      <c r="FG37" s="26"/>
      <c r="FH37" s="26"/>
      <c r="FI37" s="26"/>
      <c r="FJ37" s="26"/>
      <c r="FK37" s="26"/>
      <c r="FL37" s="26"/>
      <c r="FM37" s="26"/>
      <c r="FN37" s="26"/>
      <c r="FO37" s="26"/>
      <c r="FP37" s="26"/>
      <c r="FQ37" s="26"/>
      <c r="FR37" s="26"/>
      <c r="FS37" s="26"/>
      <c r="FT37" s="26"/>
      <c r="FU37" s="26"/>
      <c r="FV37" s="26"/>
      <c r="FW37" s="26"/>
      <c r="FX37" s="26"/>
      <c r="FY37" s="26"/>
      <c r="FZ37" s="26"/>
      <c r="GA37" s="26"/>
      <c r="GB37" s="26"/>
      <c r="GC37" s="26"/>
      <c r="GD37" s="26"/>
      <c r="GE37" s="26"/>
      <c r="GF37" s="26"/>
      <c r="GG37" s="26"/>
      <c r="GH37" s="26"/>
      <c r="GI37" s="26"/>
      <c r="GJ37" s="26"/>
      <c r="GK37" s="26"/>
      <c r="GL37" s="26"/>
      <c r="GM37" s="26"/>
      <c r="GN37" s="26"/>
      <c r="GO37" s="26"/>
      <c r="GP37" s="26"/>
      <c r="GQ37" s="26"/>
      <c r="GR37" s="26"/>
      <c r="GS37" s="26"/>
      <c r="GT37" s="26"/>
      <c r="GU37" s="26"/>
      <c r="GV37" s="26"/>
      <c r="GW37" s="26"/>
      <c r="GX37" s="26"/>
      <c r="GY37" s="26"/>
      <c r="GZ37" s="26"/>
      <c r="HA37" s="26"/>
      <c r="HB37" s="26"/>
      <c r="HC37" s="26"/>
      <c r="HD37" s="26"/>
      <c r="HE37" s="26"/>
      <c r="HF37" s="26"/>
      <c r="HG37" s="26"/>
      <c r="HH37" s="26"/>
      <c r="HI37" s="26"/>
      <c r="HJ37" s="26"/>
      <c r="HK37" s="26"/>
      <c r="HL37" s="26"/>
      <c r="HM37" s="26"/>
      <c r="HN37" s="26"/>
      <c r="HO37" s="26"/>
      <c r="HP37" s="26"/>
      <c r="HQ37" s="26"/>
      <c r="HR37" s="26"/>
      <c r="HS37" s="26"/>
      <c r="HT37" s="26"/>
      <c r="HU37" s="26"/>
      <c r="HV37" s="26"/>
      <c r="HW37" s="26"/>
      <c r="HX37" s="26"/>
      <c r="HY37" s="26"/>
      <c r="HZ37" s="26"/>
      <c r="IA37" s="26"/>
      <c r="IB37" s="26"/>
      <c r="IC37" s="26"/>
      <c r="ID37" s="26"/>
      <c r="IE37" s="26"/>
      <c r="IF37" s="26"/>
      <c r="IG37" s="26"/>
      <c r="IH37" s="26"/>
      <c r="II37" s="26"/>
      <c r="IJ37" s="26"/>
      <c r="IK37" s="26"/>
      <c r="IL37" s="26"/>
      <c r="IM37" s="26"/>
      <c r="IN37" s="26"/>
      <c r="IO37" s="26"/>
      <c r="IP37" s="26"/>
      <c r="IQ37" s="26"/>
      <c r="IR37" s="26"/>
      <c r="IS37" s="26"/>
      <c r="IT37" s="26"/>
    </row>
    <row r="38" spans="1:254" s="48" customFormat="1" x14ac:dyDescent="0.3">
      <c r="A38" s="30" t="s">
        <v>66</v>
      </c>
      <c r="B38" s="31" t="s">
        <v>67</v>
      </c>
      <c r="C38" s="49"/>
      <c r="D38" s="50"/>
      <c r="E38" s="49"/>
      <c r="F38" s="51">
        <v>3000</v>
      </c>
      <c r="G38" s="51"/>
      <c r="H38" s="51"/>
      <c r="I38" s="51"/>
      <c r="J38" s="51"/>
      <c r="K38" s="51"/>
      <c r="L38" s="51"/>
      <c r="M38" s="51"/>
      <c r="N38" s="51"/>
      <c r="O38" s="26"/>
      <c r="P38" s="26"/>
      <c r="Q38" s="26"/>
      <c r="R38" s="26"/>
      <c r="S38" s="26"/>
      <c r="T38" s="26"/>
      <c r="U38" s="26"/>
      <c r="V38" s="26"/>
      <c r="W38" s="26"/>
      <c r="X38" s="26"/>
      <c r="Y38" s="26"/>
      <c r="Z38" s="26"/>
      <c r="AA38" s="26"/>
      <c r="AB38" s="26"/>
      <c r="AC38" s="26"/>
      <c r="AD38" s="26"/>
      <c r="AE38" s="26"/>
      <c r="AF38" s="26"/>
      <c r="AG38" s="26"/>
      <c r="AH38" s="26"/>
      <c r="AI38" s="26"/>
      <c r="AJ38" s="26"/>
      <c r="AK38" s="26"/>
      <c r="AL38" s="26"/>
      <c r="AM38" s="26"/>
      <c r="AN38" s="26"/>
      <c r="AO38" s="26"/>
      <c r="AP38" s="26"/>
      <c r="AQ38" s="26"/>
      <c r="AR38" s="26"/>
      <c r="AS38" s="26"/>
      <c r="AT38" s="26"/>
      <c r="AU38" s="26"/>
      <c r="AV38" s="26"/>
      <c r="AW38" s="26"/>
      <c r="AX38" s="26"/>
      <c r="AY38" s="26"/>
      <c r="AZ38" s="26"/>
      <c r="BA38" s="26"/>
      <c r="BB38" s="26"/>
      <c r="BC38" s="26"/>
      <c r="BD38" s="26"/>
      <c r="BE38" s="26"/>
      <c r="BF38" s="26"/>
      <c r="BG38" s="26"/>
      <c r="BH38" s="26"/>
      <c r="BI38" s="26"/>
      <c r="BJ38" s="26"/>
      <c r="BK38" s="26"/>
      <c r="BL38" s="26"/>
      <c r="BM38" s="26"/>
      <c r="BN38" s="26"/>
      <c r="BO38" s="26"/>
      <c r="BP38" s="26"/>
      <c r="BQ38" s="26"/>
      <c r="BR38" s="26"/>
      <c r="BS38" s="26"/>
      <c r="BT38" s="26"/>
      <c r="BU38" s="26"/>
      <c r="BV38" s="26"/>
      <c r="BW38" s="26"/>
      <c r="BX38" s="26"/>
      <c r="BY38" s="26"/>
      <c r="BZ38" s="26"/>
      <c r="CA38" s="26"/>
      <c r="CB38" s="26"/>
      <c r="CC38" s="26"/>
      <c r="CD38" s="26"/>
      <c r="CE38" s="26"/>
      <c r="CF38" s="26"/>
      <c r="CG38" s="26"/>
      <c r="CH38" s="26"/>
      <c r="CI38" s="26"/>
      <c r="CJ38" s="26"/>
      <c r="CK38" s="26"/>
      <c r="CL38" s="26"/>
      <c r="CM38" s="26"/>
      <c r="CN38" s="26"/>
      <c r="CO38" s="26"/>
      <c r="CP38" s="26"/>
      <c r="CQ38" s="26"/>
      <c r="CR38" s="26"/>
      <c r="CS38" s="26"/>
      <c r="CT38" s="26"/>
      <c r="CU38" s="26"/>
      <c r="CV38" s="26"/>
      <c r="CW38" s="26"/>
      <c r="CX38" s="26"/>
      <c r="CY38" s="26"/>
      <c r="CZ38" s="26"/>
      <c r="DA38" s="26"/>
      <c r="DB38" s="26"/>
      <c r="DC38" s="26"/>
      <c r="DD38" s="26"/>
      <c r="DE38" s="26"/>
      <c r="DF38" s="26"/>
      <c r="DG38" s="26"/>
      <c r="DH38" s="26"/>
      <c r="DI38" s="26"/>
      <c r="DJ38" s="26"/>
      <c r="DK38" s="26"/>
      <c r="DL38" s="26"/>
      <c r="DM38" s="26"/>
      <c r="DN38" s="26"/>
      <c r="DO38" s="26"/>
      <c r="DP38" s="26"/>
      <c r="DQ38" s="26"/>
      <c r="DR38" s="26"/>
      <c r="DS38" s="26"/>
      <c r="DT38" s="26"/>
      <c r="DU38" s="26"/>
      <c r="DV38" s="26"/>
      <c r="DW38" s="26"/>
      <c r="DX38" s="26"/>
      <c r="DY38" s="26"/>
      <c r="DZ38" s="26"/>
      <c r="EA38" s="26"/>
      <c r="EB38" s="26"/>
      <c r="EC38" s="26"/>
      <c r="ED38" s="26"/>
      <c r="EE38" s="26"/>
      <c r="EF38" s="26"/>
      <c r="EG38" s="26"/>
      <c r="EH38" s="26"/>
      <c r="EI38" s="26"/>
      <c r="EJ38" s="26"/>
      <c r="EK38" s="26"/>
      <c r="EL38" s="26"/>
      <c r="EM38" s="26"/>
      <c r="EN38" s="26"/>
      <c r="EO38" s="26"/>
      <c r="EP38" s="26"/>
      <c r="EQ38" s="26"/>
      <c r="ER38" s="26"/>
      <c r="ES38" s="26"/>
      <c r="ET38" s="26"/>
      <c r="EU38" s="26"/>
      <c r="EV38" s="26"/>
      <c r="EW38" s="26"/>
      <c r="EX38" s="26"/>
      <c r="EY38" s="26"/>
      <c r="EZ38" s="26"/>
      <c r="FA38" s="26"/>
      <c r="FB38" s="26"/>
      <c r="FC38" s="26"/>
      <c r="FD38" s="26"/>
      <c r="FE38" s="26"/>
      <c r="FF38" s="26"/>
      <c r="FG38" s="26"/>
      <c r="FH38" s="26"/>
      <c r="FI38" s="26"/>
      <c r="FJ38" s="26"/>
      <c r="FK38" s="26"/>
      <c r="FL38" s="26"/>
      <c r="FM38" s="26"/>
      <c r="FN38" s="26"/>
      <c r="FO38" s="26"/>
      <c r="FP38" s="26"/>
      <c r="FQ38" s="26"/>
      <c r="FR38" s="26"/>
      <c r="FS38" s="26"/>
      <c r="FT38" s="26"/>
      <c r="FU38" s="26"/>
      <c r="FV38" s="26"/>
      <c r="FW38" s="26"/>
      <c r="FX38" s="26"/>
      <c r="FY38" s="26"/>
      <c r="FZ38" s="26"/>
      <c r="GA38" s="26"/>
      <c r="GB38" s="26"/>
      <c r="GC38" s="26"/>
      <c r="GD38" s="26"/>
      <c r="GE38" s="26"/>
      <c r="GF38" s="26"/>
      <c r="GG38" s="26"/>
      <c r="GH38" s="26"/>
      <c r="GI38" s="26"/>
      <c r="GJ38" s="26"/>
      <c r="GK38" s="26"/>
      <c r="GL38" s="26"/>
      <c r="GM38" s="26"/>
      <c r="GN38" s="26"/>
      <c r="GO38" s="26"/>
      <c r="GP38" s="26"/>
      <c r="GQ38" s="26"/>
      <c r="GR38" s="26"/>
      <c r="GS38" s="26"/>
      <c r="GT38" s="26"/>
      <c r="GU38" s="26"/>
      <c r="GV38" s="26"/>
      <c r="GW38" s="26"/>
      <c r="GX38" s="26"/>
      <c r="GY38" s="26"/>
      <c r="GZ38" s="26"/>
      <c r="HA38" s="26"/>
      <c r="HB38" s="26"/>
      <c r="HC38" s="26"/>
      <c r="HD38" s="26"/>
      <c r="HE38" s="26"/>
      <c r="HF38" s="26"/>
      <c r="HG38" s="26"/>
      <c r="HH38" s="26"/>
      <c r="HI38" s="26"/>
      <c r="HJ38" s="26"/>
      <c r="HK38" s="26"/>
      <c r="HL38" s="26"/>
      <c r="HM38" s="26"/>
      <c r="HN38" s="26"/>
      <c r="HO38" s="26"/>
      <c r="HP38" s="26"/>
      <c r="HQ38" s="26"/>
      <c r="HR38" s="26"/>
      <c r="HS38" s="26"/>
      <c r="HT38" s="26"/>
      <c r="HU38" s="26"/>
      <c r="HV38" s="26"/>
      <c r="HW38" s="26"/>
      <c r="HX38" s="26"/>
      <c r="HY38" s="26"/>
      <c r="HZ38" s="26"/>
      <c r="IA38" s="26"/>
      <c r="IB38" s="26"/>
      <c r="IC38" s="26"/>
      <c r="ID38" s="26"/>
      <c r="IE38" s="26"/>
      <c r="IF38" s="26"/>
      <c r="IG38" s="26"/>
      <c r="IH38" s="26"/>
      <c r="II38" s="26"/>
      <c r="IJ38" s="26"/>
      <c r="IK38" s="26"/>
      <c r="IL38" s="26"/>
      <c r="IM38" s="26"/>
      <c r="IN38" s="26"/>
      <c r="IO38" s="26"/>
      <c r="IP38" s="26"/>
      <c r="IQ38" s="26"/>
      <c r="IR38" s="26"/>
      <c r="IS38" s="26"/>
      <c r="IT38" s="26"/>
    </row>
    <row r="39" spans="1:254" s="48" customFormat="1" x14ac:dyDescent="0.3">
      <c r="A39" s="30" t="s">
        <v>68</v>
      </c>
      <c r="B39" s="31" t="s">
        <v>69</v>
      </c>
      <c r="C39" s="49"/>
      <c r="D39" s="50"/>
      <c r="E39" s="49"/>
      <c r="F39" s="51">
        <v>2000</v>
      </c>
      <c r="G39" s="51"/>
      <c r="H39" s="51"/>
      <c r="I39" s="51"/>
      <c r="J39" s="51"/>
      <c r="K39" s="51"/>
      <c r="L39" s="51"/>
      <c r="M39" s="51"/>
      <c r="N39" s="51"/>
      <c r="O39" s="26"/>
      <c r="P39" s="26"/>
      <c r="Q39" s="26"/>
      <c r="R39" s="26"/>
      <c r="S39" s="26"/>
      <c r="T39" s="26"/>
      <c r="U39" s="26"/>
      <c r="V39" s="26"/>
      <c r="W39" s="26"/>
      <c r="X39" s="26"/>
      <c r="Y39" s="26"/>
      <c r="Z39" s="26"/>
      <c r="AA39" s="26"/>
      <c r="AB39" s="26"/>
      <c r="AC39" s="26"/>
      <c r="AD39" s="26"/>
      <c r="AE39" s="26"/>
      <c r="AF39" s="26"/>
      <c r="AG39" s="26"/>
      <c r="AH39" s="26"/>
      <c r="AI39" s="26"/>
      <c r="AJ39" s="26"/>
      <c r="AK39" s="26"/>
      <c r="AL39" s="26"/>
      <c r="AM39" s="26"/>
      <c r="AN39" s="26"/>
      <c r="AO39" s="26"/>
      <c r="AP39" s="26"/>
      <c r="AQ39" s="26"/>
      <c r="AR39" s="26"/>
      <c r="AS39" s="26"/>
      <c r="AT39" s="26"/>
      <c r="AU39" s="26"/>
      <c r="AV39" s="26"/>
      <c r="AW39" s="26"/>
      <c r="AX39" s="26"/>
      <c r="AY39" s="26"/>
      <c r="AZ39" s="26"/>
      <c r="BA39" s="26"/>
      <c r="BB39" s="26"/>
      <c r="BC39" s="26"/>
      <c r="BD39" s="26"/>
      <c r="BE39" s="26"/>
      <c r="BF39" s="26"/>
      <c r="BG39" s="26"/>
      <c r="BH39" s="26"/>
      <c r="BI39" s="26"/>
      <c r="BJ39" s="26"/>
      <c r="BK39" s="26"/>
      <c r="BL39" s="26"/>
      <c r="BM39" s="26"/>
      <c r="BN39" s="26"/>
      <c r="BO39" s="26"/>
      <c r="BP39" s="26"/>
      <c r="BQ39" s="26"/>
      <c r="BR39" s="26"/>
      <c r="BS39" s="26"/>
      <c r="BT39" s="26"/>
      <c r="BU39" s="26"/>
      <c r="BV39" s="26"/>
      <c r="BW39" s="26"/>
      <c r="BX39" s="26"/>
      <c r="BY39" s="26"/>
      <c r="BZ39" s="26"/>
      <c r="CA39" s="26"/>
      <c r="CB39" s="26"/>
      <c r="CC39" s="26"/>
      <c r="CD39" s="26"/>
      <c r="CE39" s="26"/>
      <c r="CF39" s="26"/>
      <c r="CG39" s="26"/>
      <c r="CH39" s="26"/>
      <c r="CI39" s="26"/>
      <c r="CJ39" s="26"/>
      <c r="CK39" s="26"/>
      <c r="CL39" s="26"/>
      <c r="CM39" s="26"/>
      <c r="CN39" s="26"/>
      <c r="CO39" s="26"/>
      <c r="CP39" s="26"/>
      <c r="CQ39" s="26"/>
      <c r="CR39" s="26"/>
      <c r="CS39" s="26"/>
      <c r="CT39" s="26"/>
      <c r="CU39" s="26"/>
      <c r="CV39" s="26"/>
      <c r="CW39" s="26"/>
      <c r="CX39" s="26"/>
      <c r="CY39" s="26"/>
      <c r="CZ39" s="26"/>
      <c r="DA39" s="26"/>
      <c r="DB39" s="26"/>
      <c r="DC39" s="26"/>
      <c r="DD39" s="26"/>
      <c r="DE39" s="26"/>
      <c r="DF39" s="26"/>
      <c r="DG39" s="26"/>
      <c r="DH39" s="26"/>
      <c r="DI39" s="26"/>
      <c r="DJ39" s="26"/>
      <c r="DK39" s="26"/>
      <c r="DL39" s="26"/>
      <c r="DM39" s="26"/>
      <c r="DN39" s="26"/>
      <c r="DO39" s="26"/>
      <c r="DP39" s="26"/>
      <c r="DQ39" s="26"/>
      <c r="DR39" s="26"/>
      <c r="DS39" s="26"/>
      <c r="DT39" s="26"/>
      <c r="DU39" s="26"/>
      <c r="DV39" s="26"/>
      <c r="DW39" s="26"/>
      <c r="DX39" s="26"/>
      <c r="DY39" s="26"/>
      <c r="DZ39" s="26"/>
      <c r="EA39" s="26"/>
      <c r="EB39" s="26"/>
      <c r="EC39" s="26"/>
      <c r="ED39" s="26"/>
      <c r="EE39" s="26"/>
      <c r="EF39" s="26"/>
      <c r="EG39" s="26"/>
      <c r="EH39" s="26"/>
      <c r="EI39" s="26"/>
      <c r="EJ39" s="26"/>
      <c r="EK39" s="26"/>
      <c r="EL39" s="26"/>
      <c r="EM39" s="26"/>
      <c r="EN39" s="26"/>
      <c r="EO39" s="26"/>
      <c r="EP39" s="26"/>
      <c r="EQ39" s="26"/>
      <c r="ER39" s="26"/>
      <c r="ES39" s="26"/>
      <c r="ET39" s="26"/>
      <c r="EU39" s="26"/>
      <c r="EV39" s="26"/>
      <c r="EW39" s="26"/>
      <c r="EX39" s="26"/>
      <c r="EY39" s="26"/>
      <c r="EZ39" s="26"/>
      <c r="FA39" s="26"/>
      <c r="FB39" s="26"/>
      <c r="FC39" s="26"/>
      <c r="FD39" s="26"/>
      <c r="FE39" s="26"/>
      <c r="FF39" s="26"/>
      <c r="FG39" s="26"/>
      <c r="FH39" s="26"/>
      <c r="FI39" s="26"/>
      <c r="FJ39" s="26"/>
      <c r="FK39" s="26"/>
      <c r="FL39" s="26"/>
      <c r="FM39" s="26"/>
      <c r="FN39" s="26"/>
      <c r="FO39" s="26"/>
      <c r="FP39" s="26"/>
      <c r="FQ39" s="26"/>
      <c r="FR39" s="26"/>
      <c r="FS39" s="26"/>
      <c r="FT39" s="26"/>
      <c r="FU39" s="26"/>
      <c r="FV39" s="26"/>
      <c r="FW39" s="26"/>
      <c r="FX39" s="26"/>
      <c r="FY39" s="26"/>
      <c r="FZ39" s="26"/>
      <c r="GA39" s="26"/>
      <c r="GB39" s="26"/>
      <c r="GC39" s="26"/>
      <c r="GD39" s="26"/>
      <c r="GE39" s="26"/>
      <c r="GF39" s="26"/>
      <c r="GG39" s="26"/>
      <c r="GH39" s="26"/>
      <c r="GI39" s="26"/>
      <c r="GJ39" s="26"/>
      <c r="GK39" s="26"/>
      <c r="GL39" s="26"/>
      <c r="GM39" s="26"/>
      <c r="GN39" s="26"/>
      <c r="GO39" s="26"/>
      <c r="GP39" s="26"/>
      <c r="GQ39" s="26"/>
      <c r="GR39" s="26"/>
      <c r="GS39" s="26"/>
      <c r="GT39" s="26"/>
      <c r="GU39" s="26"/>
      <c r="GV39" s="26"/>
      <c r="GW39" s="26"/>
      <c r="GX39" s="26"/>
      <c r="GY39" s="26"/>
      <c r="GZ39" s="26"/>
      <c r="HA39" s="26"/>
      <c r="HB39" s="26"/>
      <c r="HC39" s="26"/>
      <c r="HD39" s="26"/>
      <c r="HE39" s="26"/>
      <c r="HF39" s="26"/>
      <c r="HG39" s="26"/>
      <c r="HH39" s="26"/>
      <c r="HI39" s="26"/>
      <c r="HJ39" s="26"/>
      <c r="HK39" s="26"/>
      <c r="HL39" s="26"/>
      <c r="HM39" s="26"/>
      <c r="HN39" s="26"/>
      <c r="HO39" s="26"/>
      <c r="HP39" s="26"/>
      <c r="HQ39" s="26"/>
      <c r="HR39" s="26"/>
      <c r="HS39" s="26"/>
      <c r="HT39" s="26"/>
      <c r="HU39" s="26"/>
      <c r="HV39" s="26"/>
      <c r="HW39" s="26"/>
      <c r="HX39" s="26"/>
      <c r="HY39" s="26"/>
      <c r="HZ39" s="26"/>
      <c r="IA39" s="26"/>
      <c r="IB39" s="26"/>
      <c r="IC39" s="26"/>
      <c r="ID39" s="26"/>
      <c r="IE39" s="26"/>
      <c r="IF39" s="26"/>
      <c r="IG39" s="26"/>
      <c r="IH39" s="26"/>
      <c r="II39" s="26"/>
      <c r="IJ39" s="26"/>
      <c r="IK39" s="26"/>
      <c r="IL39" s="26"/>
      <c r="IM39" s="26"/>
      <c r="IN39" s="26"/>
      <c r="IO39" s="26"/>
      <c r="IP39" s="26"/>
      <c r="IQ39" s="26"/>
      <c r="IR39" s="26"/>
      <c r="IS39" s="26"/>
      <c r="IT39" s="26"/>
    </row>
    <row r="40" spans="1:254" s="48" customFormat="1" x14ac:dyDescent="0.3">
      <c r="A40" s="42">
        <v>2.2999999999999998</v>
      </c>
      <c r="B40" s="43" t="s">
        <v>70</v>
      </c>
      <c r="C40" s="44"/>
      <c r="D40" s="45"/>
      <c r="E40" s="44"/>
      <c r="F40" s="46"/>
      <c r="G40" s="46"/>
      <c r="H40" s="46"/>
      <c r="I40" s="46"/>
      <c r="J40" s="46"/>
      <c r="K40" s="46"/>
      <c r="L40" s="46"/>
      <c r="M40" s="46"/>
      <c r="N40" s="46"/>
      <c r="O40" s="26"/>
      <c r="P40" s="26"/>
      <c r="Q40" s="26"/>
      <c r="R40" s="26"/>
      <c r="S40" s="26"/>
      <c r="T40" s="26"/>
      <c r="U40" s="26"/>
      <c r="V40" s="26"/>
      <c r="W40" s="26"/>
      <c r="X40" s="26"/>
      <c r="Y40" s="26"/>
      <c r="Z40" s="26"/>
      <c r="AA40" s="26"/>
      <c r="AB40" s="26"/>
      <c r="AC40" s="26"/>
      <c r="AD40" s="26"/>
      <c r="AE40" s="26"/>
      <c r="AF40" s="26"/>
      <c r="AG40" s="26"/>
      <c r="AH40" s="26"/>
      <c r="AI40" s="26"/>
      <c r="AJ40" s="26"/>
      <c r="AK40" s="26"/>
      <c r="AL40" s="26"/>
      <c r="AM40" s="26"/>
      <c r="AN40" s="26"/>
      <c r="AO40" s="26"/>
      <c r="AP40" s="26"/>
      <c r="AQ40" s="26"/>
      <c r="AR40" s="26"/>
      <c r="AS40" s="26"/>
      <c r="AT40" s="26"/>
      <c r="AU40" s="26"/>
      <c r="AV40" s="26"/>
      <c r="AW40" s="26"/>
      <c r="AX40" s="26"/>
      <c r="AY40" s="26"/>
      <c r="AZ40" s="26"/>
      <c r="BA40" s="26"/>
      <c r="BB40" s="26"/>
      <c r="BC40" s="26"/>
      <c r="BD40" s="26"/>
      <c r="BE40" s="26"/>
      <c r="BF40" s="26"/>
      <c r="BG40" s="26"/>
      <c r="BH40" s="26"/>
      <c r="BI40" s="26"/>
      <c r="BJ40" s="26"/>
      <c r="BK40" s="26"/>
      <c r="BL40" s="26"/>
      <c r="BM40" s="26"/>
      <c r="BN40" s="26"/>
      <c r="BO40" s="26"/>
      <c r="BP40" s="26"/>
      <c r="BQ40" s="26"/>
      <c r="BR40" s="26"/>
      <c r="BS40" s="26"/>
      <c r="BT40" s="26"/>
      <c r="BU40" s="26"/>
      <c r="BV40" s="26"/>
      <c r="BW40" s="26"/>
      <c r="BX40" s="26"/>
      <c r="BY40" s="26"/>
      <c r="BZ40" s="26"/>
      <c r="CA40" s="26"/>
      <c r="CB40" s="26"/>
      <c r="CC40" s="26"/>
      <c r="CD40" s="26"/>
      <c r="CE40" s="26"/>
      <c r="CF40" s="26"/>
      <c r="CG40" s="26"/>
      <c r="CH40" s="26"/>
      <c r="CI40" s="26"/>
      <c r="CJ40" s="26"/>
      <c r="CK40" s="26"/>
      <c r="CL40" s="26"/>
      <c r="CM40" s="26"/>
      <c r="CN40" s="26"/>
      <c r="CO40" s="26"/>
      <c r="CP40" s="26"/>
      <c r="CQ40" s="26"/>
      <c r="CR40" s="26"/>
      <c r="CS40" s="26"/>
      <c r="CT40" s="26"/>
      <c r="CU40" s="26"/>
      <c r="CV40" s="26"/>
      <c r="CW40" s="26"/>
      <c r="CX40" s="26"/>
      <c r="CY40" s="26"/>
      <c r="CZ40" s="26"/>
      <c r="DA40" s="26"/>
      <c r="DB40" s="26"/>
      <c r="DC40" s="26"/>
      <c r="DD40" s="26"/>
      <c r="DE40" s="26"/>
      <c r="DF40" s="26"/>
      <c r="DG40" s="26"/>
      <c r="DH40" s="26"/>
      <c r="DI40" s="26"/>
      <c r="DJ40" s="26"/>
      <c r="DK40" s="26"/>
      <c r="DL40" s="26"/>
      <c r="DM40" s="26"/>
      <c r="DN40" s="26"/>
      <c r="DO40" s="26"/>
      <c r="DP40" s="26"/>
      <c r="DQ40" s="26"/>
      <c r="DR40" s="26"/>
      <c r="DS40" s="26"/>
      <c r="DT40" s="26"/>
      <c r="DU40" s="26"/>
      <c r="DV40" s="26"/>
      <c r="DW40" s="26"/>
      <c r="DX40" s="26"/>
      <c r="DY40" s="26"/>
      <c r="DZ40" s="26"/>
      <c r="EA40" s="26"/>
      <c r="EB40" s="26"/>
      <c r="EC40" s="26"/>
      <c r="ED40" s="26"/>
      <c r="EE40" s="26"/>
      <c r="EF40" s="26"/>
      <c r="EG40" s="26"/>
      <c r="EH40" s="26"/>
      <c r="EI40" s="26"/>
      <c r="EJ40" s="26"/>
      <c r="EK40" s="26"/>
      <c r="EL40" s="26"/>
      <c r="EM40" s="26"/>
      <c r="EN40" s="26"/>
      <c r="EO40" s="26"/>
      <c r="EP40" s="26"/>
      <c r="EQ40" s="26"/>
      <c r="ER40" s="26"/>
      <c r="ES40" s="26"/>
      <c r="ET40" s="26"/>
      <c r="EU40" s="26"/>
      <c r="EV40" s="26"/>
      <c r="EW40" s="26"/>
      <c r="EX40" s="26"/>
      <c r="EY40" s="26"/>
      <c r="EZ40" s="26"/>
      <c r="FA40" s="26"/>
      <c r="FB40" s="26"/>
      <c r="FC40" s="26"/>
      <c r="FD40" s="26"/>
      <c r="FE40" s="26"/>
      <c r="FF40" s="26"/>
      <c r="FG40" s="26"/>
      <c r="FH40" s="26"/>
      <c r="FI40" s="26"/>
      <c r="FJ40" s="26"/>
      <c r="FK40" s="26"/>
      <c r="FL40" s="26"/>
      <c r="FM40" s="26"/>
      <c r="FN40" s="26"/>
      <c r="FO40" s="26"/>
      <c r="FP40" s="26"/>
      <c r="FQ40" s="26"/>
      <c r="FR40" s="26"/>
      <c r="FS40" s="26"/>
      <c r="FT40" s="26"/>
      <c r="FU40" s="26"/>
      <c r="FV40" s="26"/>
      <c r="FW40" s="26"/>
      <c r="FX40" s="26"/>
      <c r="FY40" s="26"/>
      <c r="FZ40" s="26"/>
      <c r="GA40" s="26"/>
      <c r="GB40" s="26"/>
      <c r="GC40" s="26"/>
      <c r="GD40" s="26"/>
      <c r="GE40" s="26"/>
      <c r="GF40" s="26"/>
      <c r="GG40" s="26"/>
      <c r="GH40" s="26"/>
      <c r="GI40" s="26"/>
      <c r="GJ40" s="26"/>
      <c r="GK40" s="26"/>
      <c r="GL40" s="26"/>
      <c r="GM40" s="26"/>
      <c r="GN40" s="26"/>
      <c r="GO40" s="26"/>
      <c r="GP40" s="26"/>
      <c r="GQ40" s="26"/>
      <c r="GR40" s="26"/>
      <c r="GS40" s="26"/>
      <c r="GT40" s="26"/>
      <c r="GU40" s="26"/>
      <c r="GV40" s="26"/>
      <c r="GW40" s="26"/>
      <c r="GX40" s="26"/>
      <c r="GY40" s="26"/>
      <c r="GZ40" s="26"/>
      <c r="HA40" s="26"/>
      <c r="HB40" s="26"/>
      <c r="HC40" s="26"/>
      <c r="HD40" s="26"/>
      <c r="HE40" s="26"/>
      <c r="HF40" s="26"/>
      <c r="HG40" s="26"/>
      <c r="HH40" s="26"/>
      <c r="HI40" s="26"/>
      <c r="HJ40" s="26"/>
      <c r="HK40" s="26"/>
      <c r="HL40" s="26"/>
      <c r="HM40" s="26"/>
      <c r="HN40" s="26"/>
      <c r="HO40" s="26"/>
      <c r="HP40" s="26"/>
      <c r="HQ40" s="26"/>
      <c r="HR40" s="26"/>
      <c r="HS40" s="26"/>
      <c r="HT40" s="26"/>
      <c r="HU40" s="26"/>
      <c r="HV40" s="26"/>
      <c r="HW40" s="26"/>
      <c r="HX40" s="26"/>
      <c r="HY40" s="26"/>
      <c r="HZ40" s="26"/>
      <c r="IA40" s="26"/>
      <c r="IB40" s="26"/>
      <c r="IC40" s="26"/>
      <c r="ID40" s="26"/>
      <c r="IE40" s="26"/>
      <c r="IF40" s="26"/>
      <c r="IG40" s="26"/>
      <c r="IH40" s="26"/>
      <c r="II40" s="26"/>
      <c r="IJ40" s="26"/>
      <c r="IK40" s="26"/>
      <c r="IL40" s="26"/>
      <c r="IM40" s="26"/>
      <c r="IN40" s="26"/>
      <c r="IO40" s="26"/>
      <c r="IP40" s="26"/>
      <c r="IQ40" s="26"/>
      <c r="IR40" s="26"/>
      <c r="IS40" s="26"/>
      <c r="IT40" s="26"/>
    </row>
    <row r="41" spans="1:254" s="48" customFormat="1" x14ac:dyDescent="0.3">
      <c r="A41" s="30" t="s">
        <v>19</v>
      </c>
      <c r="B41" s="31" t="s">
        <v>71</v>
      </c>
      <c r="C41" s="49"/>
      <c r="D41" s="50"/>
      <c r="E41" s="49"/>
      <c r="F41" s="51">
        <v>3000</v>
      </c>
      <c r="G41" s="51"/>
      <c r="H41" s="51"/>
      <c r="I41" s="51"/>
      <c r="J41" s="51"/>
      <c r="K41" s="51"/>
      <c r="L41" s="51"/>
      <c r="M41" s="51"/>
      <c r="N41" s="51"/>
      <c r="O41" s="26"/>
      <c r="P41" s="26"/>
      <c r="Q41" s="26"/>
      <c r="R41" s="26"/>
      <c r="S41" s="26"/>
      <c r="T41" s="26"/>
      <c r="U41" s="26"/>
      <c r="V41" s="26"/>
      <c r="W41" s="26"/>
      <c r="X41" s="26"/>
      <c r="Y41" s="26"/>
      <c r="Z41" s="26"/>
      <c r="AA41" s="26"/>
      <c r="AB41" s="26"/>
      <c r="AC41" s="26"/>
      <c r="AD41" s="26"/>
      <c r="AE41" s="26"/>
      <c r="AF41" s="26"/>
      <c r="AG41" s="26"/>
      <c r="AH41" s="26"/>
      <c r="AI41" s="26"/>
      <c r="AJ41" s="26"/>
      <c r="AK41" s="26"/>
      <c r="AL41" s="26"/>
      <c r="AM41" s="26"/>
      <c r="AN41" s="26"/>
      <c r="AO41" s="26"/>
      <c r="AP41" s="26"/>
      <c r="AQ41" s="26"/>
      <c r="AR41" s="26"/>
      <c r="AS41" s="26"/>
      <c r="AT41" s="26"/>
      <c r="AU41" s="26"/>
      <c r="AV41" s="26"/>
      <c r="AW41" s="26"/>
      <c r="AX41" s="26"/>
      <c r="AY41" s="26"/>
      <c r="AZ41" s="26"/>
      <c r="BA41" s="26"/>
      <c r="BB41" s="26"/>
      <c r="BC41" s="26"/>
      <c r="BD41" s="26"/>
      <c r="BE41" s="26"/>
      <c r="BF41" s="26"/>
      <c r="BG41" s="26"/>
      <c r="BH41" s="26"/>
      <c r="BI41" s="26"/>
      <c r="BJ41" s="26"/>
      <c r="BK41" s="26"/>
      <c r="BL41" s="26"/>
      <c r="BM41" s="26"/>
      <c r="BN41" s="26"/>
      <c r="BO41" s="26"/>
      <c r="BP41" s="26"/>
      <c r="BQ41" s="26"/>
      <c r="BR41" s="26"/>
      <c r="BS41" s="26"/>
      <c r="BT41" s="26"/>
      <c r="BU41" s="26"/>
      <c r="BV41" s="26"/>
      <c r="BW41" s="26"/>
      <c r="BX41" s="26"/>
      <c r="BY41" s="26"/>
      <c r="BZ41" s="26"/>
      <c r="CA41" s="26"/>
      <c r="CB41" s="26"/>
      <c r="CC41" s="26"/>
      <c r="CD41" s="26"/>
      <c r="CE41" s="26"/>
      <c r="CF41" s="26"/>
      <c r="CG41" s="26"/>
      <c r="CH41" s="26"/>
      <c r="CI41" s="26"/>
      <c r="CJ41" s="26"/>
      <c r="CK41" s="26"/>
      <c r="CL41" s="26"/>
      <c r="CM41" s="26"/>
      <c r="CN41" s="26"/>
      <c r="CO41" s="26"/>
      <c r="CP41" s="26"/>
      <c r="CQ41" s="26"/>
      <c r="CR41" s="26"/>
      <c r="CS41" s="26"/>
      <c r="CT41" s="26"/>
      <c r="CU41" s="26"/>
      <c r="CV41" s="26"/>
      <c r="CW41" s="26"/>
      <c r="CX41" s="26"/>
      <c r="CY41" s="26"/>
      <c r="CZ41" s="26"/>
      <c r="DA41" s="26"/>
      <c r="DB41" s="26"/>
      <c r="DC41" s="26"/>
      <c r="DD41" s="26"/>
      <c r="DE41" s="26"/>
      <c r="DF41" s="26"/>
      <c r="DG41" s="26"/>
      <c r="DH41" s="26"/>
      <c r="DI41" s="26"/>
      <c r="DJ41" s="26"/>
      <c r="DK41" s="26"/>
      <c r="DL41" s="26"/>
      <c r="DM41" s="26"/>
      <c r="DN41" s="26"/>
      <c r="DO41" s="26"/>
      <c r="DP41" s="26"/>
      <c r="DQ41" s="26"/>
      <c r="DR41" s="26"/>
      <c r="DS41" s="26"/>
      <c r="DT41" s="26"/>
      <c r="DU41" s="26"/>
      <c r="DV41" s="26"/>
      <c r="DW41" s="26"/>
      <c r="DX41" s="26"/>
      <c r="DY41" s="26"/>
      <c r="DZ41" s="26"/>
      <c r="EA41" s="26"/>
      <c r="EB41" s="26"/>
      <c r="EC41" s="26"/>
      <c r="ED41" s="26"/>
      <c r="EE41" s="26"/>
      <c r="EF41" s="26"/>
      <c r="EG41" s="26"/>
      <c r="EH41" s="26"/>
      <c r="EI41" s="26"/>
      <c r="EJ41" s="26"/>
      <c r="EK41" s="26"/>
      <c r="EL41" s="26"/>
      <c r="EM41" s="26"/>
      <c r="EN41" s="26"/>
      <c r="EO41" s="26"/>
      <c r="EP41" s="26"/>
      <c r="EQ41" s="26"/>
      <c r="ER41" s="26"/>
      <c r="ES41" s="26"/>
      <c r="ET41" s="26"/>
      <c r="EU41" s="26"/>
      <c r="EV41" s="26"/>
      <c r="EW41" s="26"/>
      <c r="EX41" s="26"/>
      <c r="EY41" s="26"/>
      <c r="EZ41" s="26"/>
      <c r="FA41" s="26"/>
      <c r="FB41" s="26"/>
      <c r="FC41" s="26"/>
      <c r="FD41" s="26"/>
      <c r="FE41" s="26"/>
      <c r="FF41" s="26"/>
      <c r="FG41" s="26"/>
      <c r="FH41" s="26"/>
      <c r="FI41" s="26"/>
      <c r="FJ41" s="26"/>
      <c r="FK41" s="26"/>
      <c r="FL41" s="26"/>
      <c r="FM41" s="26"/>
      <c r="FN41" s="26"/>
      <c r="FO41" s="26"/>
      <c r="FP41" s="26"/>
      <c r="FQ41" s="26"/>
      <c r="FR41" s="26"/>
      <c r="FS41" s="26"/>
      <c r="FT41" s="26"/>
      <c r="FU41" s="26"/>
      <c r="FV41" s="26"/>
      <c r="FW41" s="26"/>
      <c r="FX41" s="26"/>
      <c r="FY41" s="26"/>
      <c r="FZ41" s="26"/>
      <c r="GA41" s="26"/>
      <c r="GB41" s="26"/>
      <c r="GC41" s="26"/>
      <c r="GD41" s="26"/>
      <c r="GE41" s="26"/>
      <c r="GF41" s="26"/>
      <c r="GG41" s="26"/>
      <c r="GH41" s="26"/>
      <c r="GI41" s="26"/>
      <c r="GJ41" s="26"/>
      <c r="GK41" s="26"/>
      <c r="GL41" s="26"/>
      <c r="GM41" s="26"/>
      <c r="GN41" s="26"/>
      <c r="GO41" s="26"/>
      <c r="GP41" s="26"/>
      <c r="GQ41" s="26"/>
      <c r="GR41" s="26"/>
      <c r="GS41" s="26"/>
      <c r="GT41" s="26"/>
      <c r="GU41" s="26"/>
      <c r="GV41" s="26"/>
      <c r="GW41" s="26"/>
      <c r="GX41" s="26"/>
      <c r="GY41" s="26"/>
      <c r="GZ41" s="26"/>
      <c r="HA41" s="26"/>
      <c r="HB41" s="26"/>
      <c r="HC41" s="26"/>
      <c r="HD41" s="26"/>
      <c r="HE41" s="26"/>
      <c r="HF41" s="26"/>
      <c r="HG41" s="26"/>
      <c r="HH41" s="26"/>
      <c r="HI41" s="26"/>
      <c r="HJ41" s="26"/>
      <c r="HK41" s="26"/>
      <c r="HL41" s="26"/>
      <c r="HM41" s="26"/>
      <c r="HN41" s="26"/>
      <c r="HO41" s="26"/>
      <c r="HP41" s="26"/>
      <c r="HQ41" s="26"/>
      <c r="HR41" s="26"/>
      <c r="HS41" s="26"/>
      <c r="HT41" s="26"/>
      <c r="HU41" s="26"/>
      <c r="HV41" s="26"/>
      <c r="HW41" s="26"/>
      <c r="HX41" s="26"/>
      <c r="HY41" s="26"/>
      <c r="HZ41" s="26"/>
      <c r="IA41" s="26"/>
      <c r="IB41" s="26"/>
      <c r="IC41" s="26"/>
      <c r="ID41" s="26"/>
      <c r="IE41" s="26"/>
      <c r="IF41" s="26"/>
      <c r="IG41" s="26"/>
      <c r="IH41" s="26"/>
      <c r="II41" s="26"/>
      <c r="IJ41" s="26"/>
      <c r="IK41" s="26"/>
      <c r="IL41" s="26"/>
      <c r="IM41" s="26"/>
      <c r="IN41" s="26"/>
      <c r="IO41" s="26"/>
      <c r="IP41" s="26"/>
      <c r="IQ41" s="26"/>
      <c r="IR41" s="26"/>
      <c r="IS41" s="26"/>
      <c r="IT41" s="26"/>
    </row>
    <row r="42" spans="1:254" s="48" customFormat="1" x14ac:dyDescent="0.3">
      <c r="A42" s="30" t="s">
        <v>21</v>
      </c>
      <c r="B42" s="31" t="s">
        <v>72</v>
      </c>
      <c r="C42" s="49"/>
      <c r="D42" s="50"/>
      <c r="E42" s="49"/>
      <c r="F42" s="51">
        <v>3000</v>
      </c>
      <c r="G42" s="51"/>
      <c r="H42" s="51"/>
      <c r="I42" s="51"/>
      <c r="J42" s="51"/>
      <c r="K42" s="51"/>
      <c r="L42" s="51"/>
      <c r="M42" s="51"/>
      <c r="N42" s="51"/>
      <c r="O42" s="26"/>
      <c r="P42" s="26"/>
      <c r="Q42" s="26"/>
      <c r="R42" s="26"/>
      <c r="S42" s="26"/>
      <c r="T42" s="26"/>
      <c r="U42" s="26"/>
      <c r="V42" s="26"/>
      <c r="W42" s="26"/>
      <c r="X42" s="26"/>
      <c r="Y42" s="26"/>
      <c r="Z42" s="26"/>
      <c r="AA42" s="26"/>
      <c r="AB42" s="26"/>
      <c r="AC42" s="26"/>
      <c r="AD42" s="26"/>
      <c r="AE42" s="26"/>
      <c r="AF42" s="26"/>
      <c r="AG42" s="26"/>
      <c r="AH42" s="26"/>
      <c r="AI42" s="26"/>
      <c r="AJ42" s="26"/>
      <c r="AK42" s="26"/>
      <c r="AL42" s="26"/>
      <c r="AM42" s="26"/>
      <c r="AN42" s="26"/>
      <c r="AO42" s="26"/>
      <c r="AP42" s="26"/>
      <c r="AQ42" s="26"/>
      <c r="AR42" s="26"/>
      <c r="AS42" s="26"/>
      <c r="AT42" s="26"/>
      <c r="AU42" s="26"/>
      <c r="AV42" s="26"/>
      <c r="AW42" s="26"/>
      <c r="AX42" s="26"/>
      <c r="AY42" s="26"/>
      <c r="AZ42" s="26"/>
      <c r="BA42" s="26"/>
      <c r="BB42" s="26"/>
      <c r="BC42" s="26"/>
      <c r="BD42" s="26"/>
      <c r="BE42" s="26"/>
      <c r="BF42" s="26"/>
      <c r="BG42" s="26"/>
      <c r="BH42" s="26"/>
      <c r="BI42" s="26"/>
      <c r="BJ42" s="26"/>
      <c r="BK42" s="26"/>
      <c r="BL42" s="26"/>
      <c r="BM42" s="26"/>
      <c r="BN42" s="26"/>
      <c r="BO42" s="26"/>
      <c r="BP42" s="26"/>
      <c r="BQ42" s="26"/>
      <c r="BR42" s="26"/>
      <c r="BS42" s="26"/>
      <c r="BT42" s="26"/>
      <c r="BU42" s="26"/>
      <c r="BV42" s="26"/>
      <c r="BW42" s="26"/>
      <c r="BX42" s="26"/>
      <c r="BY42" s="26"/>
      <c r="BZ42" s="26"/>
      <c r="CA42" s="26"/>
      <c r="CB42" s="26"/>
      <c r="CC42" s="26"/>
      <c r="CD42" s="26"/>
      <c r="CE42" s="26"/>
      <c r="CF42" s="26"/>
      <c r="CG42" s="26"/>
      <c r="CH42" s="26"/>
      <c r="CI42" s="26"/>
      <c r="CJ42" s="26"/>
      <c r="CK42" s="26"/>
      <c r="CL42" s="26"/>
      <c r="CM42" s="26"/>
      <c r="CN42" s="26"/>
      <c r="CO42" s="26"/>
      <c r="CP42" s="26"/>
      <c r="CQ42" s="26"/>
      <c r="CR42" s="26"/>
      <c r="CS42" s="26"/>
      <c r="CT42" s="26"/>
      <c r="CU42" s="26"/>
      <c r="CV42" s="26"/>
      <c r="CW42" s="26"/>
      <c r="CX42" s="26"/>
      <c r="CY42" s="26"/>
      <c r="CZ42" s="26"/>
      <c r="DA42" s="26"/>
      <c r="DB42" s="26"/>
      <c r="DC42" s="26"/>
      <c r="DD42" s="26"/>
      <c r="DE42" s="26"/>
      <c r="DF42" s="26"/>
      <c r="DG42" s="26"/>
      <c r="DH42" s="26"/>
      <c r="DI42" s="26"/>
      <c r="DJ42" s="26"/>
      <c r="DK42" s="26"/>
      <c r="DL42" s="26"/>
      <c r="DM42" s="26"/>
      <c r="DN42" s="26"/>
      <c r="DO42" s="26"/>
      <c r="DP42" s="26"/>
      <c r="DQ42" s="26"/>
      <c r="DR42" s="26"/>
      <c r="DS42" s="26"/>
      <c r="DT42" s="26"/>
      <c r="DU42" s="26"/>
      <c r="DV42" s="26"/>
      <c r="DW42" s="26"/>
      <c r="DX42" s="26"/>
      <c r="DY42" s="26"/>
      <c r="DZ42" s="26"/>
      <c r="EA42" s="26"/>
      <c r="EB42" s="26"/>
      <c r="EC42" s="26"/>
      <c r="ED42" s="26"/>
      <c r="EE42" s="26"/>
      <c r="EF42" s="26"/>
      <c r="EG42" s="26"/>
      <c r="EH42" s="26"/>
      <c r="EI42" s="26"/>
      <c r="EJ42" s="26"/>
      <c r="EK42" s="26"/>
      <c r="EL42" s="26"/>
      <c r="EM42" s="26"/>
      <c r="EN42" s="26"/>
      <c r="EO42" s="26"/>
      <c r="EP42" s="26"/>
      <c r="EQ42" s="26"/>
      <c r="ER42" s="26"/>
      <c r="ES42" s="26"/>
      <c r="ET42" s="26"/>
      <c r="EU42" s="26"/>
      <c r="EV42" s="26"/>
      <c r="EW42" s="26"/>
      <c r="EX42" s="26"/>
      <c r="EY42" s="26"/>
      <c r="EZ42" s="26"/>
      <c r="FA42" s="26"/>
      <c r="FB42" s="26"/>
      <c r="FC42" s="26"/>
      <c r="FD42" s="26"/>
      <c r="FE42" s="26"/>
      <c r="FF42" s="26"/>
      <c r="FG42" s="26"/>
      <c r="FH42" s="26"/>
      <c r="FI42" s="26"/>
      <c r="FJ42" s="26"/>
      <c r="FK42" s="26"/>
      <c r="FL42" s="26"/>
      <c r="FM42" s="26"/>
      <c r="FN42" s="26"/>
      <c r="FO42" s="26"/>
      <c r="FP42" s="26"/>
      <c r="FQ42" s="26"/>
      <c r="FR42" s="26"/>
      <c r="FS42" s="26"/>
      <c r="FT42" s="26"/>
      <c r="FU42" s="26"/>
      <c r="FV42" s="26"/>
      <c r="FW42" s="26"/>
      <c r="FX42" s="26"/>
      <c r="FY42" s="26"/>
      <c r="FZ42" s="26"/>
      <c r="GA42" s="26"/>
      <c r="GB42" s="26"/>
      <c r="GC42" s="26"/>
      <c r="GD42" s="26"/>
      <c r="GE42" s="26"/>
      <c r="GF42" s="26"/>
      <c r="GG42" s="26"/>
      <c r="GH42" s="26"/>
      <c r="GI42" s="26"/>
      <c r="GJ42" s="26"/>
      <c r="GK42" s="26"/>
      <c r="GL42" s="26"/>
      <c r="GM42" s="26"/>
      <c r="GN42" s="26"/>
      <c r="GO42" s="26"/>
      <c r="GP42" s="26"/>
      <c r="GQ42" s="26"/>
      <c r="GR42" s="26"/>
      <c r="GS42" s="26"/>
      <c r="GT42" s="26"/>
      <c r="GU42" s="26"/>
      <c r="GV42" s="26"/>
      <c r="GW42" s="26"/>
      <c r="GX42" s="26"/>
      <c r="GY42" s="26"/>
      <c r="GZ42" s="26"/>
      <c r="HA42" s="26"/>
      <c r="HB42" s="26"/>
      <c r="HC42" s="26"/>
      <c r="HD42" s="26"/>
      <c r="HE42" s="26"/>
      <c r="HF42" s="26"/>
      <c r="HG42" s="26"/>
      <c r="HH42" s="26"/>
      <c r="HI42" s="26"/>
      <c r="HJ42" s="26"/>
      <c r="HK42" s="26"/>
      <c r="HL42" s="26"/>
      <c r="HM42" s="26"/>
      <c r="HN42" s="26"/>
      <c r="HO42" s="26"/>
      <c r="HP42" s="26"/>
      <c r="HQ42" s="26"/>
      <c r="HR42" s="26"/>
      <c r="HS42" s="26"/>
      <c r="HT42" s="26"/>
      <c r="HU42" s="26"/>
      <c r="HV42" s="26"/>
      <c r="HW42" s="26"/>
      <c r="HX42" s="26"/>
      <c r="HY42" s="26"/>
      <c r="HZ42" s="26"/>
      <c r="IA42" s="26"/>
      <c r="IB42" s="26"/>
      <c r="IC42" s="26"/>
      <c r="ID42" s="26"/>
      <c r="IE42" s="26"/>
      <c r="IF42" s="26"/>
      <c r="IG42" s="26"/>
      <c r="IH42" s="26"/>
      <c r="II42" s="26"/>
      <c r="IJ42" s="26"/>
      <c r="IK42" s="26"/>
      <c r="IL42" s="26"/>
      <c r="IM42" s="26"/>
      <c r="IN42" s="26"/>
      <c r="IO42" s="26"/>
      <c r="IP42" s="26"/>
      <c r="IQ42" s="26"/>
      <c r="IR42" s="26"/>
      <c r="IS42" s="26"/>
      <c r="IT42" s="26"/>
    </row>
    <row r="43" spans="1:254" s="48" customFormat="1" x14ac:dyDescent="0.3">
      <c r="A43" s="30" t="s">
        <v>22</v>
      </c>
      <c r="B43" s="31" t="s">
        <v>73</v>
      </c>
      <c r="C43" s="49"/>
      <c r="D43" s="50"/>
      <c r="E43" s="49"/>
      <c r="F43" s="51">
        <v>3000</v>
      </c>
      <c r="G43" s="51"/>
      <c r="H43" s="51"/>
      <c r="I43" s="51"/>
      <c r="J43" s="51"/>
      <c r="K43" s="51"/>
      <c r="L43" s="51"/>
      <c r="M43" s="51"/>
      <c r="N43" s="51"/>
      <c r="O43" s="26"/>
      <c r="P43" s="26"/>
      <c r="Q43" s="26"/>
      <c r="R43" s="26"/>
      <c r="S43" s="26"/>
      <c r="T43" s="26"/>
      <c r="U43" s="26"/>
      <c r="V43" s="26"/>
      <c r="W43" s="26"/>
      <c r="X43" s="26"/>
      <c r="Y43" s="26"/>
      <c r="Z43" s="26"/>
      <c r="AA43" s="26"/>
      <c r="AB43" s="26"/>
      <c r="AC43" s="26"/>
      <c r="AD43" s="26"/>
      <c r="AE43" s="26"/>
      <c r="AF43" s="26"/>
      <c r="AG43" s="26"/>
      <c r="AH43" s="26"/>
      <c r="AI43" s="26"/>
      <c r="AJ43" s="26"/>
      <c r="AK43" s="26"/>
      <c r="AL43" s="26"/>
      <c r="AM43" s="26"/>
      <c r="AN43" s="26"/>
      <c r="AO43" s="26"/>
      <c r="AP43" s="26"/>
      <c r="AQ43" s="26"/>
      <c r="AR43" s="26"/>
      <c r="AS43" s="26"/>
      <c r="AT43" s="26"/>
      <c r="AU43" s="26"/>
      <c r="AV43" s="26"/>
      <c r="AW43" s="26"/>
      <c r="AX43" s="26"/>
      <c r="AY43" s="26"/>
      <c r="AZ43" s="26"/>
      <c r="BA43" s="26"/>
      <c r="BB43" s="26"/>
      <c r="BC43" s="26"/>
      <c r="BD43" s="26"/>
      <c r="BE43" s="26"/>
      <c r="BF43" s="26"/>
      <c r="BG43" s="26"/>
      <c r="BH43" s="26"/>
      <c r="BI43" s="26"/>
      <c r="BJ43" s="26"/>
      <c r="BK43" s="26"/>
      <c r="BL43" s="26"/>
      <c r="BM43" s="26"/>
      <c r="BN43" s="26"/>
      <c r="BO43" s="26"/>
      <c r="BP43" s="26"/>
      <c r="BQ43" s="26"/>
      <c r="BR43" s="26"/>
      <c r="BS43" s="26"/>
      <c r="BT43" s="26"/>
      <c r="BU43" s="26"/>
      <c r="BV43" s="26"/>
      <c r="BW43" s="26"/>
      <c r="BX43" s="26"/>
      <c r="BY43" s="26"/>
      <c r="BZ43" s="26"/>
      <c r="CA43" s="26"/>
      <c r="CB43" s="26"/>
      <c r="CC43" s="26"/>
      <c r="CD43" s="26"/>
      <c r="CE43" s="26"/>
      <c r="CF43" s="26"/>
      <c r="CG43" s="26"/>
      <c r="CH43" s="26"/>
      <c r="CI43" s="26"/>
      <c r="CJ43" s="26"/>
      <c r="CK43" s="26"/>
      <c r="CL43" s="26"/>
      <c r="CM43" s="26"/>
      <c r="CN43" s="26"/>
      <c r="CO43" s="26"/>
      <c r="CP43" s="26"/>
      <c r="CQ43" s="26"/>
      <c r="CR43" s="26"/>
      <c r="CS43" s="26"/>
      <c r="CT43" s="26"/>
      <c r="CU43" s="26"/>
      <c r="CV43" s="26"/>
      <c r="CW43" s="26"/>
      <c r="CX43" s="26"/>
      <c r="CY43" s="26"/>
      <c r="CZ43" s="26"/>
      <c r="DA43" s="26"/>
      <c r="DB43" s="26"/>
      <c r="DC43" s="26"/>
      <c r="DD43" s="26"/>
      <c r="DE43" s="26"/>
      <c r="DF43" s="26"/>
      <c r="DG43" s="26"/>
      <c r="DH43" s="26"/>
      <c r="DI43" s="26"/>
      <c r="DJ43" s="26"/>
      <c r="DK43" s="26"/>
      <c r="DL43" s="26"/>
      <c r="DM43" s="26"/>
      <c r="DN43" s="26"/>
      <c r="DO43" s="26"/>
      <c r="DP43" s="26"/>
      <c r="DQ43" s="26"/>
      <c r="DR43" s="26"/>
      <c r="DS43" s="26"/>
      <c r="DT43" s="26"/>
      <c r="DU43" s="26"/>
      <c r="DV43" s="26"/>
      <c r="DW43" s="26"/>
      <c r="DX43" s="26"/>
      <c r="DY43" s="26"/>
      <c r="DZ43" s="26"/>
      <c r="EA43" s="26"/>
      <c r="EB43" s="26"/>
      <c r="EC43" s="26"/>
      <c r="ED43" s="26"/>
      <c r="EE43" s="26"/>
      <c r="EF43" s="26"/>
      <c r="EG43" s="26"/>
      <c r="EH43" s="26"/>
      <c r="EI43" s="26"/>
      <c r="EJ43" s="26"/>
      <c r="EK43" s="26"/>
      <c r="EL43" s="26"/>
      <c r="EM43" s="26"/>
      <c r="EN43" s="26"/>
      <c r="EO43" s="26"/>
      <c r="EP43" s="26"/>
      <c r="EQ43" s="26"/>
      <c r="ER43" s="26"/>
      <c r="ES43" s="26"/>
      <c r="ET43" s="26"/>
      <c r="EU43" s="26"/>
      <c r="EV43" s="26"/>
      <c r="EW43" s="26"/>
      <c r="EX43" s="26"/>
      <c r="EY43" s="26"/>
      <c r="EZ43" s="26"/>
      <c r="FA43" s="26"/>
      <c r="FB43" s="26"/>
      <c r="FC43" s="26"/>
      <c r="FD43" s="26"/>
      <c r="FE43" s="26"/>
      <c r="FF43" s="26"/>
      <c r="FG43" s="26"/>
      <c r="FH43" s="26"/>
      <c r="FI43" s="26"/>
      <c r="FJ43" s="26"/>
      <c r="FK43" s="26"/>
      <c r="FL43" s="26"/>
      <c r="FM43" s="26"/>
      <c r="FN43" s="26"/>
      <c r="FO43" s="26"/>
      <c r="FP43" s="26"/>
      <c r="FQ43" s="26"/>
      <c r="FR43" s="26"/>
      <c r="FS43" s="26"/>
      <c r="FT43" s="26"/>
      <c r="FU43" s="26"/>
      <c r="FV43" s="26"/>
      <c r="FW43" s="26"/>
      <c r="FX43" s="26"/>
      <c r="FY43" s="26"/>
      <c r="FZ43" s="26"/>
      <c r="GA43" s="26"/>
      <c r="GB43" s="26"/>
      <c r="GC43" s="26"/>
      <c r="GD43" s="26"/>
      <c r="GE43" s="26"/>
      <c r="GF43" s="26"/>
      <c r="GG43" s="26"/>
      <c r="GH43" s="26"/>
      <c r="GI43" s="26"/>
      <c r="GJ43" s="26"/>
      <c r="GK43" s="26"/>
      <c r="GL43" s="26"/>
      <c r="GM43" s="26"/>
      <c r="GN43" s="26"/>
      <c r="GO43" s="26"/>
      <c r="GP43" s="26"/>
      <c r="GQ43" s="26"/>
      <c r="GR43" s="26"/>
      <c r="GS43" s="26"/>
      <c r="GT43" s="26"/>
      <c r="GU43" s="26"/>
      <c r="GV43" s="26"/>
      <c r="GW43" s="26"/>
      <c r="GX43" s="26"/>
      <c r="GY43" s="26"/>
      <c r="GZ43" s="26"/>
      <c r="HA43" s="26"/>
      <c r="HB43" s="26"/>
      <c r="HC43" s="26"/>
      <c r="HD43" s="26"/>
      <c r="HE43" s="26"/>
      <c r="HF43" s="26"/>
      <c r="HG43" s="26"/>
      <c r="HH43" s="26"/>
      <c r="HI43" s="26"/>
      <c r="HJ43" s="26"/>
      <c r="HK43" s="26"/>
      <c r="HL43" s="26"/>
      <c r="HM43" s="26"/>
      <c r="HN43" s="26"/>
      <c r="HO43" s="26"/>
      <c r="HP43" s="26"/>
      <c r="HQ43" s="26"/>
      <c r="HR43" s="26"/>
      <c r="HS43" s="26"/>
      <c r="HT43" s="26"/>
      <c r="HU43" s="26"/>
      <c r="HV43" s="26"/>
      <c r="HW43" s="26"/>
      <c r="HX43" s="26"/>
      <c r="HY43" s="26"/>
      <c r="HZ43" s="26"/>
      <c r="IA43" s="26"/>
      <c r="IB43" s="26"/>
      <c r="IC43" s="26"/>
      <c r="ID43" s="26"/>
      <c r="IE43" s="26"/>
      <c r="IF43" s="26"/>
      <c r="IG43" s="26"/>
      <c r="IH43" s="26"/>
      <c r="II43" s="26"/>
      <c r="IJ43" s="26"/>
      <c r="IK43" s="26"/>
      <c r="IL43" s="26"/>
      <c r="IM43" s="26"/>
      <c r="IN43" s="26"/>
      <c r="IO43" s="26"/>
      <c r="IP43" s="26"/>
      <c r="IQ43" s="26"/>
      <c r="IR43" s="26"/>
      <c r="IS43" s="26"/>
      <c r="IT43" s="26"/>
    </row>
    <row r="44" spans="1:254" s="48" customFormat="1" x14ac:dyDescent="0.3">
      <c r="A44" s="42">
        <v>2.4</v>
      </c>
      <c r="B44" s="43" t="s">
        <v>87</v>
      </c>
      <c r="C44" s="44"/>
      <c r="D44" s="45"/>
      <c r="E44" s="44"/>
      <c r="F44" s="46"/>
      <c r="G44" s="46"/>
      <c r="H44" s="46"/>
      <c r="I44" s="46"/>
      <c r="J44" s="46"/>
      <c r="K44" s="46"/>
      <c r="L44" s="46"/>
      <c r="M44" s="46"/>
      <c r="N44" s="46"/>
      <c r="O44" s="26"/>
      <c r="P44" s="26"/>
      <c r="Q44" s="26"/>
      <c r="R44" s="26"/>
      <c r="S44" s="26"/>
      <c r="T44" s="26"/>
      <c r="U44" s="26"/>
      <c r="V44" s="26"/>
      <c r="W44" s="26"/>
      <c r="X44" s="26"/>
      <c r="Y44" s="26"/>
      <c r="Z44" s="26"/>
      <c r="AA44" s="26"/>
      <c r="AB44" s="26"/>
      <c r="AC44" s="26"/>
      <c r="AD44" s="26"/>
      <c r="AE44" s="26"/>
      <c r="AF44" s="26"/>
      <c r="AG44" s="26"/>
      <c r="AH44" s="26"/>
      <c r="AI44" s="26"/>
      <c r="AJ44" s="26"/>
      <c r="AK44" s="26"/>
      <c r="AL44" s="26"/>
      <c r="AM44" s="26"/>
      <c r="AN44" s="26"/>
      <c r="AO44" s="26"/>
      <c r="AP44" s="26"/>
      <c r="AQ44" s="26"/>
      <c r="AR44" s="26"/>
      <c r="AS44" s="26"/>
      <c r="AT44" s="26"/>
      <c r="AU44" s="26"/>
      <c r="AV44" s="26"/>
      <c r="AW44" s="26"/>
      <c r="AX44" s="26"/>
      <c r="AY44" s="26"/>
      <c r="AZ44" s="26"/>
      <c r="BA44" s="26"/>
      <c r="BB44" s="26"/>
      <c r="BC44" s="26"/>
      <c r="BD44" s="26"/>
      <c r="BE44" s="26"/>
      <c r="BF44" s="26"/>
      <c r="BG44" s="26"/>
      <c r="BH44" s="26"/>
      <c r="BI44" s="26"/>
      <c r="BJ44" s="26"/>
      <c r="BK44" s="26"/>
      <c r="BL44" s="26"/>
      <c r="BM44" s="26"/>
      <c r="BN44" s="26"/>
      <c r="BO44" s="26"/>
      <c r="BP44" s="26"/>
      <c r="BQ44" s="26"/>
      <c r="BR44" s="26"/>
      <c r="BS44" s="26"/>
      <c r="BT44" s="26"/>
      <c r="BU44" s="26"/>
      <c r="BV44" s="26"/>
      <c r="BW44" s="26"/>
      <c r="BX44" s="26"/>
      <c r="BY44" s="26"/>
      <c r="BZ44" s="26"/>
      <c r="CA44" s="26"/>
      <c r="CB44" s="26"/>
      <c r="CC44" s="26"/>
      <c r="CD44" s="26"/>
      <c r="CE44" s="26"/>
      <c r="CF44" s="26"/>
      <c r="CG44" s="26"/>
      <c r="CH44" s="26"/>
      <c r="CI44" s="26"/>
      <c r="CJ44" s="26"/>
      <c r="CK44" s="26"/>
      <c r="CL44" s="26"/>
      <c r="CM44" s="26"/>
      <c r="CN44" s="26"/>
      <c r="CO44" s="26"/>
      <c r="CP44" s="26"/>
      <c r="CQ44" s="26"/>
      <c r="CR44" s="26"/>
      <c r="CS44" s="26"/>
      <c r="CT44" s="26"/>
      <c r="CU44" s="26"/>
      <c r="CV44" s="26"/>
      <c r="CW44" s="26"/>
      <c r="CX44" s="26"/>
      <c r="CY44" s="26"/>
      <c r="CZ44" s="26"/>
      <c r="DA44" s="26"/>
      <c r="DB44" s="26"/>
      <c r="DC44" s="26"/>
      <c r="DD44" s="26"/>
      <c r="DE44" s="26"/>
      <c r="DF44" s="26"/>
      <c r="DG44" s="26"/>
      <c r="DH44" s="26"/>
      <c r="DI44" s="26"/>
      <c r="DJ44" s="26"/>
      <c r="DK44" s="26"/>
      <c r="DL44" s="26"/>
      <c r="DM44" s="26"/>
      <c r="DN44" s="26"/>
      <c r="DO44" s="26"/>
      <c r="DP44" s="26"/>
      <c r="DQ44" s="26"/>
      <c r="DR44" s="26"/>
      <c r="DS44" s="26"/>
      <c r="DT44" s="26"/>
      <c r="DU44" s="26"/>
      <c r="DV44" s="26"/>
      <c r="DW44" s="26"/>
      <c r="DX44" s="26"/>
      <c r="DY44" s="26"/>
      <c r="DZ44" s="26"/>
      <c r="EA44" s="26"/>
      <c r="EB44" s="26"/>
      <c r="EC44" s="26"/>
      <c r="ED44" s="26"/>
      <c r="EE44" s="26"/>
      <c r="EF44" s="26"/>
      <c r="EG44" s="26"/>
      <c r="EH44" s="26"/>
      <c r="EI44" s="26"/>
      <c r="EJ44" s="26"/>
      <c r="EK44" s="26"/>
      <c r="EL44" s="26"/>
      <c r="EM44" s="26"/>
      <c r="EN44" s="26"/>
      <c r="EO44" s="26"/>
      <c r="EP44" s="26"/>
      <c r="EQ44" s="26"/>
      <c r="ER44" s="26"/>
      <c r="ES44" s="26"/>
      <c r="ET44" s="26"/>
      <c r="EU44" s="26"/>
      <c r="EV44" s="26"/>
      <c r="EW44" s="26"/>
      <c r="EX44" s="26"/>
      <c r="EY44" s="26"/>
      <c r="EZ44" s="26"/>
      <c r="FA44" s="26"/>
      <c r="FB44" s="26"/>
      <c r="FC44" s="26"/>
      <c r="FD44" s="26"/>
      <c r="FE44" s="26"/>
      <c r="FF44" s="26"/>
      <c r="FG44" s="26"/>
      <c r="FH44" s="26"/>
      <c r="FI44" s="26"/>
      <c r="FJ44" s="26"/>
      <c r="FK44" s="26"/>
      <c r="FL44" s="26"/>
      <c r="FM44" s="26"/>
      <c r="FN44" s="26"/>
      <c r="FO44" s="26"/>
      <c r="FP44" s="26"/>
      <c r="FQ44" s="26"/>
      <c r="FR44" s="26"/>
      <c r="FS44" s="26"/>
      <c r="FT44" s="26"/>
      <c r="FU44" s="26"/>
      <c r="FV44" s="26"/>
      <c r="FW44" s="26"/>
      <c r="FX44" s="26"/>
      <c r="FY44" s="26"/>
      <c r="FZ44" s="26"/>
      <c r="GA44" s="26"/>
      <c r="GB44" s="26"/>
      <c r="GC44" s="26"/>
      <c r="GD44" s="26"/>
      <c r="GE44" s="26"/>
      <c r="GF44" s="26"/>
      <c r="GG44" s="26"/>
      <c r="GH44" s="26"/>
      <c r="GI44" s="26"/>
      <c r="GJ44" s="26"/>
      <c r="GK44" s="26"/>
      <c r="GL44" s="26"/>
      <c r="GM44" s="26"/>
      <c r="GN44" s="26"/>
      <c r="GO44" s="26"/>
      <c r="GP44" s="26"/>
      <c r="GQ44" s="26"/>
      <c r="GR44" s="26"/>
      <c r="GS44" s="26"/>
      <c r="GT44" s="26"/>
      <c r="GU44" s="26"/>
      <c r="GV44" s="26"/>
      <c r="GW44" s="26"/>
      <c r="GX44" s="26"/>
      <c r="GY44" s="26"/>
      <c r="GZ44" s="26"/>
      <c r="HA44" s="26"/>
      <c r="HB44" s="26"/>
      <c r="HC44" s="26"/>
      <c r="HD44" s="26"/>
      <c r="HE44" s="26"/>
      <c r="HF44" s="26"/>
      <c r="HG44" s="26"/>
      <c r="HH44" s="26"/>
      <c r="HI44" s="26"/>
      <c r="HJ44" s="26"/>
      <c r="HK44" s="26"/>
      <c r="HL44" s="26"/>
      <c r="HM44" s="26"/>
      <c r="HN44" s="26"/>
      <c r="HO44" s="26"/>
      <c r="HP44" s="26"/>
      <c r="HQ44" s="26"/>
      <c r="HR44" s="26"/>
      <c r="HS44" s="26"/>
      <c r="HT44" s="26"/>
      <c r="HU44" s="26"/>
      <c r="HV44" s="26"/>
      <c r="HW44" s="26"/>
      <c r="HX44" s="26"/>
      <c r="HY44" s="26"/>
      <c r="HZ44" s="26"/>
      <c r="IA44" s="26"/>
      <c r="IB44" s="26"/>
      <c r="IC44" s="26"/>
      <c r="ID44" s="26"/>
      <c r="IE44" s="26"/>
      <c r="IF44" s="26"/>
      <c r="IG44" s="26"/>
      <c r="IH44" s="26"/>
      <c r="II44" s="26"/>
      <c r="IJ44" s="26"/>
      <c r="IK44" s="26"/>
      <c r="IL44" s="26"/>
      <c r="IM44" s="26"/>
      <c r="IN44" s="26"/>
      <c r="IO44" s="26"/>
      <c r="IP44" s="26"/>
      <c r="IQ44" s="26"/>
      <c r="IR44" s="26"/>
      <c r="IS44" s="26"/>
      <c r="IT44" s="26"/>
    </row>
    <row r="45" spans="1:254" s="48" customFormat="1" x14ac:dyDescent="0.3">
      <c r="A45" s="30" t="s">
        <v>23</v>
      </c>
      <c r="B45" s="31" t="s">
        <v>88</v>
      </c>
      <c r="C45" s="49"/>
      <c r="D45" s="50"/>
      <c r="E45" s="49"/>
      <c r="F45" s="56">
        <v>2000</v>
      </c>
      <c r="G45" s="51"/>
      <c r="H45" s="51"/>
      <c r="I45" s="51"/>
      <c r="J45" s="51"/>
      <c r="K45" s="51"/>
      <c r="L45" s="51"/>
      <c r="M45" s="51"/>
      <c r="N45" s="51"/>
      <c r="O45" s="26"/>
      <c r="P45" s="26"/>
      <c r="Q45" s="26"/>
      <c r="R45" s="26"/>
      <c r="S45" s="26"/>
      <c r="T45" s="26"/>
      <c r="U45" s="26"/>
      <c r="V45" s="26"/>
      <c r="W45" s="26"/>
      <c r="X45" s="26"/>
      <c r="Y45" s="26"/>
      <c r="Z45" s="26"/>
      <c r="AA45" s="26"/>
      <c r="AB45" s="26"/>
      <c r="AC45" s="26"/>
      <c r="AD45" s="26"/>
      <c r="AE45" s="26"/>
      <c r="AF45" s="26"/>
      <c r="AG45" s="26"/>
      <c r="AH45" s="26"/>
      <c r="AI45" s="26"/>
      <c r="AJ45" s="26"/>
      <c r="AK45" s="26"/>
      <c r="AL45" s="26"/>
      <c r="AM45" s="26"/>
      <c r="AN45" s="26"/>
      <c r="AO45" s="26"/>
      <c r="AP45" s="26"/>
      <c r="AQ45" s="26"/>
      <c r="AR45" s="26"/>
      <c r="AS45" s="26"/>
      <c r="AT45" s="26"/>
      <c r="AU45" s="26"/>
      <c r="AV45" s="26"/>
      <c r="AW45" s="26"/>
      <c r="AX45" s="26"/>
      <c r="AY45" s="26"/>
      <c r="AZ45" s="26"/>
      <c r="BA45" s="26"/>
      <c r="BB45" s="26"/>
      <c r="BC45" s="26"/>
      <c r="BD45" s="26"/>
      <c r="BE45" s="26"/>
      <c r="BF45" s="26"/>
      <c r="BG45" s="26"/>
      <c r="BH45" s="26"/>
      <c r="BI45" s="26"/>
      <c r="BJ45" s="26"/>
      <c r="BK45" s="26"/>
      <c r="BL45" s="26"/>
      <c r="BM45" s="26"/>
      <c r="BN45" s="26"/>
      <c r="BO45" s="26"/>
      <c r="BP45" s="26"/>
      <c r="BQ45" s="26"/>
      <c r="BR45" s="26"/>
      <c r="BS45" s="26"/>
      <c r="BT45" s="26"/>
      <c r="BU45" s="26"/>
      <c r="BV45" s="26"/>
      <c r="BW45" s="26"/>
      <c r="BX45" s="26"/>
      <c r="BY45" s="26"/>
      <c r="BZ45" s="26"/>
      <c r="CA45" s="26"/>
      <c r="CB45" s="26"/>
      <c r="CC45" s="26"/>
      <c r="CD45" s="26"/>
      <c r="CE45" s="26"/>
      <c r="CF45" s="26"/>
      <c r="CG45" s="26"/>
      <c r="CH45" s="26"/>
      <c r="CI45" s="26"/>
      <c r="CJ45" s="26"/>
      <c r="CK45" s="26"/>
      <c r="CL45" s="26"/>
      <c r="CM45" s="26"/>
      <c r="CN45" s="26"/>
      <c r="CO45" s="26"/>
      <c r="CP45" s="26"/>
      <c r="CQ45" s="26"/>
      <c r="CR45" s="26"/>
      <c r="CS45" s="26"/>
      <c r="CT45" s="26"/>
      <c r="CU45" s="26"/>
      <c r="CV45" s="26"/>
      <c r="CW45" s="26"/>
      <c r="CX45" s="26"/>
      <c r="CY45" s="26"/>
      <c r="CZ45" s="26"/>
      <c r="DA45" s="26"/>
      <c r="DB45" s="26"/>
      <c r="DC45" s="26"/>
      <c r="DD45" s="26"/>
      <c r="DE45" s="26"/>
      <c r="DF45" s="26"/>
      <c r="DG45" s="26"/>
      <c r="DH45" s="26"/>
      <c r="DI45" s="26"/>
      <c r="DJ45" s="26"/>
      <c r="DK45" s="26"/>
      <c r="DL45" s="26"/>
      <c r="DM45" s="26"/>
      <c r="DN45" s="26"/>
      <c r="DO45" s="26"/>
      <c r="DP45" s="26"/>
      <c r="DQ45" s="26"/>
      <c r="DR45" s="26"/>
      <c r="DS45" s="26"/>
      <c r="DT45" s="26"/>
      <c r="DU45" s="26"/>
      <c r="DV45" s="26"/>
      <c r="DW45" s="26"/>
      <c r="DX45" s="26"/>
      <c r="DY45" s="26"/>
      <c r="DZ45" s="26"/>
      <c r="EA45" s="26"/>
      <c r="EB45" s="26"/>
      <c r="EC45" s="26"/>
      <c r="ED45" s="26"/>
      <c r="EE45" s="26"/>
      <c r="EF45" s="26"/>
      <c r="EG45" s="26"/>
      <c r="EH45" s="26"/>
      <c r="EI45" s="26"/>
      <c r="EJ45" s="26"/>
      <c r="EK45" s="26"/>
      <c r="EL45" s="26"/>
      <c r="EM45" s="26"/>
      <c r="EN45" s="26"/>
      <c r="EO45" s="26"/>
      <c r="EP45" s="26"/>
      <c r="EQ45" s="26"/>
      <c r="ER45" s="26"/>
      <c r="ES45" s="26"/>
      <c r="ET45" s="26"/>
      <c r="EU45" s="26"/>
      <c r="EV45" s="26"/>
      <c r="EW45" s="26"/>
      <c r="EX45" s="26"/>
      <c r="EY45" s="26"/>
      <c r="EZ45" s="26"/>
      <c r="FA45" s="26"/>
      <c r="FB45" s="26"/>
      <c r="FC45" s="26"/>
      <c r="FD45" s="26"/>
      <c r="FE45" s="26"/>
      <c r="FF45" s="26"/>
      <c r="FG45" s="26"/>
      <c r="FH45" s="26"/>
      <c r="FI45" s="26"/>
      <c r="FJ45" s="26"/>
      <c r="FK45" s="26"/>
      <c r="FL45" s="26"/>
      <c r="FM45" s="26"/>
      <c r="FN45" s="26"/>
      <c r="FO45" s="26"/>
      <c r="FP45" s="26"/>
      <c r="FQ45" s="26"/>
      <c r="FR45" s="26"/>
      <c r="FS45" s="26"/>
      <c r="FT45" s="26"/>
      <c r="FU45" s="26"/>
      <c r="FV45" s="26"/>
      <c r="FW45" s="26"/>
      <c r="FX45" s="26"/>
      <c r="FY45" s="26"/>
      <c r="FZ45" s="26"/>
      <c r="GA45" s="26"/>
      <c r="GB45" s="26"/>
      <c r="GC45" s="26"/>
      <c r="GD45" s="26"/>
      <c r="GE45" s="26"/>
      <c r="GF45" s="26"/>
      <c r="GG45" s="26"/>
      <c r="GH45" s="26"/>
      <c r="GI45" s="26"/>
      <c r="GJ45" s="26"/>
      <c r="GK45" s="26"/>
      <c r="GL45" s="26"/>
      <c r="GM45" s="26"/>
      <c r="GN45" s="26"/>
      <c r="GO45" s="26"/>
      <c r="GP45" s="26"/>
      <c r="GQ45" s="26"/>
      <c r="GR45" s="26"/>
      <c r="GS45" s="26"/>
      <c r="GT45" s="26"/>
      <c r="GU45" s="26"/>
      <c r="GV45" s="26"/>
      <c r="GW45" s="26"/>
      <c r="GX45" s="26"/>
      <c r="GY45" s="26"/>
      <c r="GZ45" s="26"/>
      <c r="HA45" s="26"/>
      <c r="HB45" s="26"/>
      <c r="HC45" s="26"/>
      <c r="HD45" s="26"/>
      <c r="HE45" s="26"/>
      <c r="HF45" s="26"/>
      <c r="HG45" s="26"/>
      <c r="HH45" s="26"/>
      <c r="HI45" s="26"/>
      <c r="HJ45" s="26"/>
      <c r="HK45" s="26"/>
      <c r="HL45" s="26"/>
      <c r="HM45" s="26"/>
      <c r="HN45" s="26"/>
      <c r="HO45" s="26"/>
      <c r="HP45" s="26"/>
      <c r="HQ45" s="26"/>
      <c r="HR45" s="26"/>
      <c r="HS45" s="26"/>
      <c r="HT45" s="26"/>
      <c r="HU45" s="26"/>
      <c r="HV45" s="26"/>
      <c r="HW45" s="26"/>
      <c r="HX45" s="26"/>
      <c r="HY45" s="26"/>
      <c r="HZ45" s="26"/>
      <c r="IA45" s="26"/>
      <c r="IB45" s="26"/>
      <c r="IC45" s="26"/>
      <c r="ID45" s="26"/>
      <c r="IE45" s="26"/>
      <c r="IF45" s="26"/>
      <c r="IG45" s="26"/>
      <c r="IH45" s="26"/>
      <c r="II45" s="26"/>
      <c r="IJ45" s="26"/>
      <c r="IK45" s="26"/>
      <c r="IL45" s="26"/>
      <c r="IM45" s="26"/>
      <c r="IN45" s="26"/>
      <c r="IO45" s="26"/>
      <c r="IP45" s="26"/>
      <c r="IQ45" s="26"/>
      <c r="IR45" s="26"/>
      <c r="IS45" s="26"/>
      <c r="IT45" s="26"/>
    </row>
    <row r="46" spans="1:254" s="48" customFormat="1" x14ac:dyDescent="0.3">
      <c r="A46" s="30" t="s">
        <v>24</v>
      </c>
      <c r="B46" s="31" t="s">
        <v>89</v>
      </c>
      <c r="C46" s="49"/>
      <c r="D46" s="50"/>
      <c r="E46" s="49"/>
      <c r="F46" s="56">
        <v>2000</v>
      </c>
      <c r="G46" s="51"/>
      <c r="H46" s="51"/>
      <c r="I46" s="51"/>
      <c r="J46" s="51"/>
      <c r="K46" s="51"/>
      <c r="L46" s="51"/>
      <c r="M46" s="51"/>
      <c r="N46" s="51"/>
      <c r="O46" s="26"/>
      <c r="P46" s="26"/>
      <c r="Q46" s="26"/>
      <c r="R46" s="26"/>
      <c r="S46" s="26"/>
      <c r="T46" s="26"/>
      <c r="U46" s="26"/>
      <c r="V46" s="26"/>
      <c r="W46" s="26"/>
      <c r="X46" s="26"/>
      <c r="Y46" s="26"/>
      <c r="Z46" s="26"/>
      <c r="AA46" s="26"/>
      <c r="AB46" s="26"/>
      <c r="AC46" s="26"/>
      <c r="AD46" s="26"/>
      <c r="AE46" s="26"/>
      <c r="AF46" s="26"/>
      <c r="AG46" s="26"/>
      <c r="AH46" s="26"/>
      <c r="AI46" s="26"/>
      <c r="AJ46" s="26"/>
      <c r="AK46" s="26"/>
      <c r="AL46" s="26"/>
      <c r="AM46" s="26"/>
      <c r="AN46" s="26"/>
      <c r="AO46" s="26"/>
      <c r="AP46" s="26"/>
      <c r="AQ46" s="26"/>
      <c r="AR46" s="26"/>
      <c r="AS46" s="26"/>
      <c r="AT46" s="26"/>
      <c r="AU46" s="26"/>
      <c r="AV46" s="26"/>
      <c r="AW46" s="26"/>
      <c r="AX46" s="26"/>
      <c r="AY46" s="26"/>
      <c r="AZ46" s="26"/>
      <c r="BA46" s="26"/>
      <c r="BB46" s="26"/>
      <c r="BC46" s="26"/>
      <c r="BD46" s="26"/>
      <c r="BE46" s="26"/>
      <c r="BF46" s="26"/>
      <c r="BG46" s="26"/>
      <c r="BH46" s="26"/>
      <c r="BI46" s="26"/>
      <c r="BJ46" s="26"/>
      <c r="BK46" s="26"/>
      <c r="BL46" s="26"/>
      <c r="BM46" s="26"/>
      <c r="BN46" s="26"/>
      <c r="BO46" s="26"/>
      <c r="BP46" s="26"/>
      <c r="BQ46" s="26"/>
      <c r="BR46" s="26"/>
      <c r="BS46" s="26"/>
      <c r="BT46" s="26"/>
      <c r="BU46" s="26"/>
      <c r="BV46" s="26"/>
      <c r="BW46" s="26"/>
      <c r="BX46" s="26"/>
      <c r="BY46" s="26"/>
      <c r="BZ46" s="26"/>
      <c r="CA46" s="26"/>
      <c r="CB46" s="26"/>
      <c r="CC46" s="26"/>
      <c r="CD46" s="26"/>
      <c r="CE46" s="26"/>
      <c r="CF46" s="26"/>
      <c r="CG46" s="26"/>
      <c r="CH46" s="26"/>
      <c r="CI46" s="26"/>
      <c r="CJ46" s="26"/>
      <c r="CK46" s="26"/>
      <c r="CL46" s="26"/>
      <c r="CM46" s="26"/>
      <c r="CN46" s="26"/>
      <c r="CO46" s="26"/>
      <c r="CP46" s="26"/>
      <c r="CQ46" s="26"/>
      <c r="CR46" s="26"/>
      <c r="CS46" s="26"/>
      <c r="CT46" s="26"/>
      <c r="CU46" s="26"/>
      <c r="CV46" s="26"/>
      <c r="CW46" s="26"/>
      <c r="CX46" s="26"/>
      <c r="CY46" s="26"/>
      <c r="CZ46" s="26"/>
      <c r="DA46" s="26"/>
      <c r="DB46" s="26"/>
      <c r="DC46" s="26"/>
      <c r="DD46" s="26"/>
      <c r="DE46" s="26"/>
      <c r="DF46" s="26"/>
      <c r="DG46" s="26"/>
      <c r="DH46" s="26"/>
      <c r="DI46" s="26"/>
      <c r="DJ46" s="26"/>
      <c r="DK46" s="26"/>
      <c r="DL46" s="26"/>
      <c r="DM46" s="26"/>
      <c r="DN46" s="26"/>
      <c r="DO46" s="26"/>
      <c r="DP46" s="26"/>
      <c r="DQ46" s="26"/>
      <c r="DR46" s="26"/>
      <c r="DS46" s="26"/>
      <c r="DT46" s="26"/>
      <c r="DU46" s="26"/>
      <c r="DV46" s="26"/>
      <c r="DW46" s="26"/>
      <c r="DX46" s="26"/>
      <c r="DY46" s="26"/>
      <c r="DZ46" s="26"/>
      <c r="EA46" s="26"/>
      <c r="EB46" s="26"/>
      <c r="EC46" s="26"/>
      <c r="ED46" s="26"/>
      <c r="EE46" s="26"/>
      <c r="EF46" s="26"/>
      <c r="EG46" s="26"/>
      <c r="EH46" s="26"/>
      <c r="EI46" s="26"/>
      <c r="EJ46" s="26"/>
      <c r="EK46" s="26"/>
      <c r="EL46" s="26"/>
      <c r="EM46" s="26"/>
      <c r="EN46" s="26"/>
      <c r="EO46" s="26"/>
      <c r="EP46" s="26"/>
      <c r="EQ46" s="26"/>
      <c r="ER46" s="26"/>
      <c r="ES46" s="26"/>
      <c r="ET46" s="26"/>
      <c r="EU46" s="26"/>
      <c r="EV46" s="26"/>
      <c r="EW46" s="26"/>
      <c r="EX46" s="26"/>
      <c r="EY46" s="26"/>
      <c r="EZ46" s="26"/>
      <c r="FA46" s="26"/>
      <c r="FB46" s="26"/>
      <c r="FC46" s="26"/>
      <c r="FD46" s="26"/>
      <c r="FE46" s="26"/>
      <c r="FF46" s="26"/>
      <c r="FG46" s="26"/>
      <c r="FH46" s="26"/>
      <c r="FI46" s="26"/>
      <c r="FJ46" s="26"/>
      <c r="FK46" s="26"/>
      <c r="FL46" s="26"/>
      <c r="FM46" s="26"/>
      <c r="FN46" s="26"/>
      <c r="FO46" s="26"/>
      <c r="FP46" s="26"/>
      <c r="FQ46" s="26"/>
      <c r="FR46" s="26"/>
      <c r="FS46" s="26"/>
      <c r="FT46" s="26"/>
      <c r="FU46" s="26"/>
      <c r="FV46" s="26"/>
      <c r="FW46" s="26"/>
      <c r="FX46" s="26"/>
      <c r="FY46" s="26"/>
      <c r="FZ46" s="26"/>
      <c r="GA46" s="26"/>
      <c r="GB46" s="26"/>
      <c r="GC46" s="26"/>
      <c r="GD46" s="26"/>
      <c r="GE46" s="26"/>
      <c r="GF46" s="26"/>
      <c r="GG46" s="26"/>
      <c r="GH46" s="26"/>
      <c r="GI46" s="26"/>
      <c r="GJ46" s="26"/>
      <c r="GK46" s="26"/>
      <c r="GL46" s="26"/>
      <c r="GM46" s="26"/>
      <c r="GN46" s="26"/>
      <c r="GO46" s="26"/>
      <c r="GP46" s="26"/>
      <c r="GQ46" s="26"/>
      <c r="GR46" s="26"/>
      <c r="GS46" s="26"/>
      <c r="GT46" s="26"/>
      <c r="GU46" s="26"/>
      <c r="GV46" s="26"/>
      <c r="GW46" s="26"/>
      <c r="GX46" s="26"/>
      <c r="GY46" s="26"/>
      <c r="GZ46" s="26"/>
      <c r="HA46" s="26"/>
      <c r="HB46" s="26"/>
      <c r="HC46" s="26"/>
      <c r="HD46" s="26"/>
      <c r="HE46" s="26"/>
      <c r="HF46" s="26"/>
      <c r="HG46" s="26"/>
      <c r="HH46" s="26"/>
      <c r="HI46" s="26"/>
      <c r="HJ46" s="26"/>
      <c r="HK46" s="26"/>
      <c r="HL46" s="26"/>
      <c r="HM46" s="26"/>
      <c r="HN46" s="26"/>
      <c r="HO46" s="26"/>
      <c r="HP46" s="26"/>
      <c r="HQ46" s="26"/>
      <c r="HR46" s="26"/>
      <c r="HS46" s="26"/>
      <c r="HT46" s="26"/>
      <c r="HU46" s="26"/>
      <c r="HV46" s="26"/>
      <c r="HW46" s="26"/>
      <c r="HX46" s="26"/>
      <c r="HY46" s="26"/>
      <c r="HZ46" s="26"/>
      <c r="IA46" s="26"/>
      <c r="IB46" s="26"/>
      <c r="IC46" s="26"/>
      <c r="ID46" s="26"/>
      <c r="IE46" s="26"/>
      <c r="IF46" s="26"/>
      <c r="IG46" s="26"/>
      <c r="IH46" s="26"/>
      <c r="II46" s="26"/>
      <c r="IJ46" s="26"/>
      <c r="IK46" s="26"/>
      <c r="IL46" s="26"/>
      <c r="IM46" s="26"/>
      <c r="IN46" s="26"/>
      <c r="IO46" s="26"/>
      <c r="IP46" s="26"/>
      <c r="IQ46" s="26"/>
      <c r="IR46" s="26"/>
      <c r="IS46" s="26"/>
      <c r="IT46" s="26"/>
    </row>
    <row r="47" spans="1:254" s="48" customFormat="1" x14ac:dyDescent="0.3">
      <c r="A47" s="30" t="s">
        <v>25</v>
      </c>
      <c r="B47" s="31" t="s">
        <v>90</v>
      </c>
      <c r="C47" s="49"/>
      <c r="D47" s="50"/>
      <c r="E47" s="49"/>
      <c r="F47" s="56">
        <v>2000</v>
      </c>
      <c r="G47" s="51"/>
      <c r="H47" s="51"/>
      <c r="I47" s="51"/>
      <c r="J47" s="51"/>
      <c r="K47" s="51"/>
      <c r="L47" s="51"/>
      <c r="M47" s="51"/>
      <c r="N47" s="51"/>
      <c r="O47" s="26"/>
      <c r="P47" s="26"/>
      <c r="Q47" s="26"/>
      <c r="R47" s="26"/>
      <c r="S47" s="26"/>
      <c r="T47" s="26"/>
      <c r="U47" s="26"/>
      <c r="V47" s="26"/>
      <c r="W47" s="26"/>
      <c r="X47" s="26"/>
      <c r="Y47" s="26"/>
      <c r="Z47" s="26"/>
      <c r="AA47" s="26"/>
      <c r="AB47" s="26"/>
      <c r="AC47" s="26"/>
      <c r="AD47" s="26"/>
      <c r="AE47" s="26"/>
      <c r="AF47" s="26"/>
      <c r="AG47" s="26"/>
      <c r="AH47" s="26"/>
      <c r="AI47" s="26"/>
      <c r="AJ47" s="26"/>
      <c r="AK47" s="26"/>
      <c r="AL47" s="26"/>
      <c r="AM47" s="26"/>
      <c r="AN47" s="26"/>
      <c r="AO47" s="26"/>
      <c r="AP47" s="26"/>
      <c r="AQ47" s="26"/>
      <c r="AR47" s="26"/>
      <c r="AS47" s="26"/>
      <c r="AT47" s="26"/>
      <c r="AU47" s="26"/>
      <c r="AV47" s="26"/>
      <c r="AW47" s="26"/>
      <c r="AX47" s="26"/>
      <c r="AY47" s="26"/>
      <c r="AZ47" s="26"/>
      <c r="BA47" s="26"/>
      <c r="BB47" s="26"/>
      <c r="BC47" s="26"/>
      <c r="BD47" s="26"/>
      <c r="BE47" s="26"/>
      <c r="BF47" s="26"/>
      <c r="BG47" s="26"/>
      <c r="BH47" s="26"/>
      <c r="BI47" s="26"/>
      <c r="BJ47" s="26"/>
      <c r="BK47" s="26"/>
      <c r="BL47" s="26"/>
      <c r="BM47" s="26"/>
      <c r="BN47" s="26"/>
      <c r="BO47" s="26"/>
      <c r="BP47" s="26"/>
      <c r="BQ47" s="26"/>
      <c r="BR47" s="26"/>
      <c r="BS47" s="26"/>
      <c r="BT47" s="26"/>
      <c r="BU47" s="26"/>
      <c r="BV47" s="26"/>
      <c r="BW47" s="26"/>
      <c r="BX47" s="26"/>
      <c r="BY47" s="26"/>
      <c r="BZ47" s="26"/>
      <c r="CA47" s="26"/>
      <c r="CB47" s="26"/>
      <c r="CC47" s="26"/>
      <c r="CD47" s="26"/>
      <c r="CE47" s="26"/>
      <c r="CF47" s="26"/>
      <c r="CG47" s="26"/>
      <c r="CH47" s="26"/>
      <c r="CI47" s="26"/>
      <c r="CJ47" s="26"/>
      <c r="CK47" s="26"/>
      <c r="CL47" s="26"/>
      <c r="CM47" s="26"/>
      <c r="CN47" s="26"/>
      <c r="CO47" s="26"/>
      <c r="CP47" s="26"/>
      <c r="CQ47" s="26"/>
      <c r="CR47" s="26"/>
      <c r="CS47" s="26"/>
      <c r="CT47" s="26"/>
      <c r="CU47" s="26"/>
      <c r="CV47" s="26"/>
      <c r="CW47" s="26"/>
      <c r="CX47" s="26"/>
      <c r="CY47" s="26"/>
      <c r="CZ47" s="26"/>
      <c r="DA47" s="26"/>
      <c r="DB47" s="26"/>
      <c r="DC47" s="26"/>
      <c r="DD47" s="26"/>
      <c r="DE47" s="26"/>
      <c r="DF47" s="26"/>
      <c r="DG47" s="26"/>
      <c r="DH47" s="26"/>
      <c r="DI47" s="26"/>
      <c r="DJ47" s="26"/>
      <c r="DK47" s="26"/>
      <c r="DL47" s="26"/>
      <c r="DM47" s="26"/>
      <c r="DN47" s="26"/>
      <c r="DO47" s="26"/>
      <c r="DP47" s="26"/>
      <c r="DQ47" s="26"/>
      <c r="DR47" s="26"/>
      <c r="DS47" s="26"/>
      <c r="DT47" s="26"/>
      <c r="DU47" s="26"/>
      <c r="DV47" s="26"/>
      <c r="DW47" s="26"/>
      <c r="DX47" s="26"/>
      <c r="DY47" s="26"/>
      <c r="DZ47" s="26"/>
      <c r="EA47" s="26"/>
      <c r="EB47" s="26"/>
      <c r="EC47" s="26"/>
      <c r="ED47" s="26"/>
      <c r="EE47" s="26"/>
      <c r="EF47" s="26"/>
      <c r="EG47" s="26"/>
      <c r="EH47" s="26"/>
      <c r="EI47" s="26"/>
      <c r="EJ47" s="26"/>
      <c r="EK47" s="26"/>
      <c r="EL47" s="26"/>
      <c r="EM47" s="26"/>
      <c r="EN47" s="26"/>
      <c r="EO47" s="26"/>
      <c r="EP47" s="26"/>
      <c r="EQ47" s="26"/>
      <c r="ER47" s="26"/>
      <c r="ES47" s="26"/>
      <c r="ET47" s="26"/>
      <c r="EU47" s="26"/>
      <c r="EV47" s="26"/>
      <c r="EW47" s="26"/>
      <c r="EX47" s="26"/>
      <c r="EY47" s="26"/>
      <c r="EZ47" s="26"/>
      <c r="FA47" s="26"/>
      <c r="FB47" s="26"/>
      <c r="FC47" s="26"/>
      <c r="FD47" s="26"/>
      <c r="FE47" s="26"/>
      <c r="FF47" s="26"/>
      <c r="FG47" s="26"/>
      <c r="FH47" s="26"/>
      <c r="FI47" s="26"/>
      <c r="FJ47" s="26"/>
      <c r="FK47" s="26"/>
      <c r="FL47" s="26"/>
      <c r="FM47" s="26"/>
      <c r="FN47" s="26"/>
      <c r="FO47" s="26"/>
      <c r="FP47" s="26"/>
      <c r="FQ47" s="26"/>
      <c r="FR47" s="26"/>
      <c r="FS47" s="26"/>
      <c r="FT47" s="26"/>
      <c r="FU47" s="26"/>
      <c r="FV47" s="26"/>
      <c r="FW47" s="26"/>
      <c r="FX47" s="26"/>
      <c r="FY47" s="26"/>
      <c r="FZ47" s="26"/>
      <c r="GA47" s="26"/>
      <c r="GB47" s="26"/>
      <c r="GC47" s="26"/>
      <c r="GD47" s="26"/>
      <c r="GE47" s="26"/>
      <c r="GF47" s="26"/>
      <c r="GG47" s="26"/>
      <c r="GH47" s="26"/>
      <c r="GI47" s="26"/>
      <c r="GJ47" s="26"/>
      <c r="GK47" s="26"/>
      <c r="GL47" s="26"/>
      <c r="GM47" s="26"/>
      <c r="GN47" s="26"/>
      <c r="GO47" s="26"/>
      <c r="GP47" s="26"/>
      <c r="GQ47" s="26"/>
      <c r="GR47" s="26"/>
      <c r="GS47" s="26"/>
      <c r="GT47" s="26"/>
      <c r="GU47" s="26"/>
      <c r="GV47" s="26"/>
      <c r="GW47" s="26"/>
      <c r="GX47" s="26"/>
      <c r="GY47" s="26"/>
      <c r="GZ47" s="26"/>
      <c r="HA47" s="26"/>
      <c r="HB47" s="26"/>
      <c r="HC47" s="26"/>
      <c r="HD47" s="26"/>
      <c r="HE47" s="26"/>
      <c r="HF47" s="26"/>
      <c r="HG47" s="26"/>
      <c r="HH47" s="26"/>
      <c r="HI47" s="26"/>
      <c r="HJ47" s="26"/>
      <c r="HK47" s="26"/>
      <c r="HL47" s="26"/>
      <c r="HM47" s="26"/>
      <c r="HN47" s="26"/>
      <c r="HO47" s="26"/>
      <c r="HP47" s="26"/>
      <c r="HQ47" s="26"/>
      <c r="HR47" s="26"/>
      <c r="HS47" s="26"/>
      <c r="HT47" s="26"/>
      <c r="HU47" s="26"/>
      <c r="HV47" s="26"/>
      <c r="HW47" s="26"/>
      <c r="HX47" s="26"/>
      <c r="HY47" s="26"/>
      <c r="HZ47" s="26"/>
      <c r="IA47" s="26"/>
      <c r="IB47" s="26"/>
      <c r="IC47" s="26"/>
      <c r="ID47" s="26"/>
      <c r="IE47" s="26"/>
      <c r="IF47" s="26"/>
      <c r="IG47" s="26"/>
      <c r="IH47" s="26"/>
      <c r="II47" s="26"/>
      <c r="IJ47" s="26"/>
      <c r="IK47" s="26"/>
      <c r="IL47" s="26"/>
      <c r="IM47" s="26"/>
      <c r="IN47" s="26"/>
      <c r="IO47" s="26"/>
      <c r="IP47" s="26"/>
      <c r="IQ47" s="26"/>
      <c r="IR47" s="26"/>
      <c r="IS47" s="26"/>
      <c r="IT47" s="26"/>
    </row>
    <row r="48" spans="1:254" s="48" customFormat="1" x14ac:dyDescent="0.3">
      <c r="A48" s="42">
        <v>2.5</v>
      </c>
      <c r="B48" s="43" t="s">
        <v>91</v>
      </c>
      <c r="C48" s="44"/>
      <c r="D48" s="45"/>
      <c r="E48" s="44"/>
      <c r="F48" s="57"/>
      <c r="G48" s="46"/>
      <c r="H48" s="46"/>
      <c r="I48" s="46"/>
      <c r="J48" s="46"/>
      <c r="K48" s="46"/>
      <c r="L48" s="46"/>
      <c r="M48" s="46"/>
      <c r="N48" s="46"/>
      <c r="O48" s="26"/>
      <c r="P48" s="26"/>
      <c r="Q48" s="26"/>
      <c r="R48" s="26"/>
      <c r="S48" s="26"/>
      <c r="T48" s="26"/>
      <c r="U48" s="26"/>
      <c r="V48" s="26"/>
      <c r="W48" s="26"/>
      <c r="X48" s="26"/>
      <c r="Y48" s="26"/>
      <c r="Z48" s="26"/>
      <c r="AA48" s="26"/>
      <c r="AB48" s="26"/>
      <c r="AC48" s="26"/>
      <c r="AD48" s="26"/>
      <c r="AE48" s="26"/>
      <c r="AF48" s="26"/>
      <c r="AG48" s="26"/>
      <c r="AH48" s="26"/>
      <c r="AI48" s="26"/>
      <c r="AJ48" s="26"/>
      <c r="AK48" s="26"/>
      <c r="AL48" s="26"/>
      <c r="AM48" s="26"/>
      <c r="AN48" s="26"/>
      <c r="AO48" s="26"/>
      <c r="AP48" s="26"/>
      <c r="AQ48" s="26"/>
      <c r="AR48" s="26"/>
      <c r="AS48" s="26"/>
      <c r="AT48" s="26"/>
      <c r="AU48" s="26"/>
      <c r="AV48" s="26"/>
      <c r="AW48" s="26"/>
      <c r="AX48" s="26"/>
      <c r="AY48" s="26"/>
      <c r="AZ48" s="26"/>
      <c r="BA48" s="26"/>
      <c r="BB48" s="26"/>
      <c r="BC48" s="26"/>
      <c r="BD48" s="26"/>
      <c r="BE48" s="26"/>
      <c r="BF48" s="26"/>
      <c r="BG48" s="26"/>
      <c r="BH48" s="26"/>
      <c r="BI48" s="26"/>
      <c r="BJ48" s="26"/>
      <c r="BK48" s="26"/>
      <c r="BL48" s="26"/>
      <c r="BM48" s="26"/>
      <c r="BN48" s="26"/>
      <c r="BO48" s="26"/>
      <c r="BP48" s="26"/>
      <c r="BQ48" s="26"/>
      <c r="BR48" s="26"/>
      <c r="BS48" s="26"/>
      <c r="BT48" s="26"/>
      <c r="BU48" s="26"/>
      <c r="BV48" s="26"/>
      <c r="BW48" s="26"/>
      <c r="BX48" s="26"/>
      <c r="BY48" s="26"/>
      <c r="BZ48" s="26"/>
      <c r="CA48" s="26"/>
      <c r="CB48" s="26"/>
      <c r="CC48" s="26"/>
      <c r="CD48" s="26"/>
      <c r="CE48" s="26"/>
      <c r="CF48" s="26"/>
      <c r="CG48" s="26"/>
      <c r="CH48" s="26"/>
      <c r="CI48" s="26"/>
      <c r="CJ48" s="26"/>
      <c r="CK48" s="26"/>
      <c r="CL48" s="26"/>
      <c r="CM48" s="26"/>
      <c r="CN48" s="26"/>
      <c r="CO48" s="26"/>
      <c r="CP48" s="26"/>
      <c r="CQ48" s="26"/>
      <c r="CR48" s="26"/>
      <c r="CS48" s="26"/>
      <c r="CT48" s="26"/>
      <c r="CU48" s="26"/>
      <c r="CV48" s="26"/>
      <c r="CW48" s="26"/>
      <c r="CX48" s="26"/>
      <c r="CY48" s="26"/>
      <c r="CZ48" s="26"/>
      <c r="DA48" s="26"/>
      <c r="DB48" s="26"/>
      <c r="DC48" s="26"/>
      <c r="DD48" s="26"/>
      <c r="DE48" s="26"/>
      <c r="DF48" s="26"/>
      <c r="DG48" s="26"/>
      <c r="DH48" s="26"/>
      <c r="DI48" s="26"/>
      <c r="DJ48" s="26"/>
      <c r="DK48" s="26"/>
      <c r="DL48" s="26"/>
      <c r="DM48" s="26"/>
      <c r="DN48" s="26"/>
      <c r="DO48" s="26"/>
      <c r="DP48" s="26"/>
      <c r="DQ48" s="26"/>
      <c r="DR48" s="26"/>
      <c r="DS48" s="26"/>
      <c r="DT48" s="26"/>
      <c r="DU48" s="26"/>
      <c r="DV48" s="26"/>
      <c r="DW48" s="26"/>
      <c r="DX48" s="26"/>
      <c r="DY48" s="26"/>
      <c r="DZ48" s="26"/>
      <c r="EA48" s="26"/>
      <c r="EB48" s="26"/>
      <c r="EC48" s="26"/>
      <c r="ED48" s="26"/>
      <c r="EE48" s="26"/>
      <c r="EF48" s="26"/>
      <c r="EG48" s="26"/>
      <c r="EH48" s="26"/>
      <c r="EI48" s="26"/>
      <c r="EJ48" s="26"/>
      <c r="EK48" s="26"/>
      <c r="EL48" s="26"/>
      <c r="EM48" s="26"/>
      <c r="EN48" s="26"/>
      <c r="EO48" s="26"/>
      <c r="EP48" s="26"/>
      <c r="EQ48" s="26"/>
      <c r="ER48" s="26"/>
      <c r="ES48" s="26"/>
      <c r="ET48" s="26"/>
      <c r="EU48" s="26"/>
      <c r="EV48" s="26"/>
      <c r="EW48" s="26"/>
      <c r="EX48" s="26"/>
      <c r="EY48" s="26"/>
      <c r="EZ48" s="26"/>
      <c r="FA48" s="26"/>
      <c r="FB48" s="26"/>
      <c r="FC48" s="26"/>
      <c r="FD48" s="26"/>
      <c r="FE48" s="26"/>
      <c r="FF48" s="26"/>
      <c r="FG48" s="26"/>
      <c r="FH48" s="26"/>
      <c r="FI48" s="26"/>
      <c r="FJ48" s="26"/>
      <c r="FK48" s="26"/>
      <c r="FL48" s="26"/>
      <c r="FM48" s="26"/>
      <c r="FN48" s="26"/>
      <c r="FO48" s="26"/>
      <c r="FP48" s="26"/>
      <c r="FQ48" s="26"/>
      <c r="FR48" s="26"/>
      <c r="FS48" s="26"/>
      <c r="FT48" s="26"/>
      <c r="FU48" s="26"/>
      <c r="FV48" s="26"/>
      <c r="FW48" s="26"/>
      <c r="FX48" s="26"/>
      <c r="FY48" s="26"/>
      <c r="FZ48" s="26"/>
      <c r="GA48" s="26"/>
      <c r="GB48" s="26"/>
      <c r="GC48" s="26"/>
      <c r="GD48" s="26"/>
      <c r="GE48" s="26"/>
      <c r="GF48" s="26"/>
      <c r="GG48" s="26"/>
      <c r="GH48" s="26"/>
      <c r="GI48" s="26"/>
      <c r="GJ48" s="26"/>
      <c r="GK48" s="26"/>
      <c r="GL48" s="26"/>
      <c r="GM48" s="26"/>
      <c r="GN48" s="26"/>
      <c r="GO48" s="26"/>
      <c r="GP48" s="26"/>
      <c r="GQ48" s="26"/>
      <c r="GR48" s="26"/>
      <c r="GS48" s="26"/>
      <c r="GT48" s="26"/>
      <c r="GU48" s="26"/>
      <c r="GV48" s="26"/>
      <c r="GW48" s="26"/>
      <c r="GX48" s="26"/>
      <c r="GY48" s="26"/>
      <c r="GZ48" s="26"/>
      <c r="HA48" s="26"/>
      <c r="HB48" s="26"/>
      <c r="HC48" s="26"/>
      <c r="HD48" s="26"/>
      <c r="HE48" s="26"/>
      <c r="HF48" s="26"/>
      <c r="HG48" s="26"/>
      <c r="HH48" s="26"/>
      <c r="HI48" s="26"/>
      <c r="HJ48" s="26"/>
      <c r="HK48" s="26"/>
      <c r="HL48" s="26"/>
      <c r="HM48" s="26"/>
      <c r="HN48" s="26"/>
      <c r="HO48" s="26"/>
      <c r="HP48" s="26"/>
      <c r="HQ48" s="26"/>
      <c r="HR48" s="26"/>
      <c r="HS48" s="26"/>
      <c r="HT48" s="26"/>
      <c r="HU48" s="26"/>
      <c r="HV48" s="26"/>
      <c r="HW48" s="26"/>
      <c r="HX48" s="26"/>
      <c r="HY48" s="26"/>
      <c r="HZ48" s="26"/>
      <c r="IA48" s="26"/>
      <c r="IB48" s="26"/>
      <c r="IC48" s="26"/>
      <c r="ID48" s="26"/>
      <c r="IE48" s="26"/>
      <c r="IF48" s="26"/>
      <c r="IG48" s="26"/>
      <c r="IH48" s="26"/>
      <c r="II48" s="26"/>
      <c r="IJ48" s="26"/>
      <c r="IK48" s="26"/>
      <c r="IL48" s="26"/>
      <c r="IM48" s="26"/>
      <c r="IN48" s="26"/>
      <c r="IO48" s="26"/>
      <c r="IP48" s="26"/>
      <c r="IQ48" s="26"/>
      <c r="IR48" s="26"/>
      <c r="IS48" s="26"/>
      <c r="IT48" s="26"/>
    </row>
    <row r="49" spans="1:254" s="48" customFormat="1" x14ac:dyDescent="0.3">
      <c r="A49" s="30" t="s">
        <v>92</v>
      </c>
      <c r="B49" s="31" t="s">
        <v>93</v>
      </c>
      <c r="C49" s="49"/>
      <c r="D49" s="50"/>
      <c r="E49" s="49"/>
      <c r="F49" s="56">
        <v>2500</v>
      </c>
      <c r="G49" s="51"/>
      <c r="H49" s="51"/>
      <c r="I49" s="51"/>
      <c r="J49" s="51"/>
      <c r="K49" s="51"/>
      <c r="L49" s="51"/>
      <c r="M49" s="51"/>
      <c r="N49" s="51"/>
      <c r="O49" s="26"/>
      <c r="P49" s="26"/>
      <c r="Q49" s="26"/>
      <c r="R49" s="26"/>
      <c r="S49" s="26"/>
      <c r="T49" s="26"/>
      <c r="U49" s="26"/>
      <c r="V49" s="26"/>
      <c r="W49" s="26"/>
      <c r="X49" s="26"/>
      <c r="Y49" s="26"/>
      <c r="Z49" s="26"/>
      <c r="AA49" s="26"/>
      <c r="AB49" s="26"/>
      <c r="AC49" s="26"/>
      <c r="AD49" s="26"/>
      <c r="AE49" s="26"/>
      <c r="AF49" s="26"/>
      <c r="AG49" s="26"/>
      <c r="AH49" s="26"/>
      <c r="AI49" s="26"/>
      <c r="AJ49" s="26"/>
      <c r="AK49" s="26"/>
      <c r="AL49" s="26"/>
      <c r="AM49" s="26"/>
      <c r="AN49" s="26"/>
      <c r="AO49" s="26"/>
      <c r="AP49" s="26"/>
      <c r="AQ49" s="26"/>
      <c r="AR49" s="26"/>
      <c r="AS49" s="26"/>
      <c r="AT49" s="26"/>
      <c r="AU49" s="26"/>
      <c r="AV49" s="26"/>
      <c r="AW49" s="26"/>
      <c r="AX49" s="26"/>
      <c r="AY49" s="26"/>
      <c r="AZ49" s="26"/>
      <c r="BA49" s="26"/>
      <c r="BB49" s="26"/>
      <c r="BC49" s="26"/>
      <c r="BD49" s="26"/>
      <c r="BE49" s="26"/>
      <c r="BF49" s="26"/>
      <c r="BG49" s="26"/>
      <c r="BH49" s="26"/>
      <c r="BI49" s="26"/>
      <c r="BJ49" s="26"/>
      <c r="BK49" s="26"/>
      <c r="BL49" s="26"/>
      <c r="BM49" s="26"/>
      <c r="BN49" s="26"/>
      <c r="BO49" s="26"/>
      <c r="BP49" s="26"/>
      <c r="BQ49" s="26"/>
      <c r="BR49" s="26"/>
      <c r="BS49" s="26"/>
      <c r="BT49" s="26"/>
      <c r="BU49" s="26"/>
      <c r="BV49" s="26"/>
      <c r="BW49" s="26"/>
      <c r="BX49" s="26"/>
      <c r="BY49" s="26"/>
      <c r="BZ49" s="26"/>
      <c r="CA49" s="26"/>
      <c r="CB49" s="26"/>
      <c r="CC49" s="26"/>
      <c r="CD49" s="26"/>
      <c r="CE49" s="26"/>
      <c r="CF49" s="26"/>
      <c r="CG49" s="26"/>
      <c r="CH49" s="26"/>
      <c r="CI49" s="26"/>
      <c r="CJ49" s="26"/>
      <c r="CK49" s="26"/>
      <c r="CL49" s="26"/>
      <c r="CM49" s="26"/>
      <c r="CN49" s="26"/>
      <c r="CO49" s="26"/>
      <c r="CP49" s="26"/>
      <c r="CQ49" s="26"/>
      <c r="CR49" s="26"/>
      <c r="CS49" s="26"/>
      <c r="CT49" s="26"/>
      <c r="CU49" s="26"/>
      <c r="CV49" s="26"/>
      <c r="CW49" s="26"/>
      <c r="CX49" s="26"/>
      <c r="CY49" s="26"/>
      <c r="CZ49" s="26"/>
      <c r="DA49" s="26"/>
      <c r="DB49" s="26"/>
      <c r="DC49" s="26"/>
      <c r="DD49" s="26"/>
      <c r="DE49" s="26"/>
      <c r="DF49" s="26"/>
      <c r="DG49" s="26"/>
      <c r="DH49" s="26"/>
      <c r="DI49" s="26"/>
      <c r="DJ49" s="26"/>
      <c r="DK49" s="26"/>
      <c r="DL49" s="26"/>
      <c r="DM49" s="26"/>
      <c r="DN49" s="26"/>
      <c r="DO49" s="26"/>
      <c r="DP49" s="26"/>
      <c r="DQ49" s="26"/>
      <c r="DR49" s="26"/>
      <c r="DS49" s="26"/>
      <c r="DT49" s="26"/>
      <c r="DU49" s="26"/>
      <c r="DV49" s="26"/>
      <c r="DW49" s="26"/>
      <c r="DX49" s="26"/>
      <c r="DY49" s="26"/>
      <c r="DZ49" s="26"/>
      <c r="EA49" s="26"/>
      <c r="EB49" s="26"/>
      <c r="EC49" s="26"/>
      <c r="ED49" s="26"/>
      <c r="EE49" s="26"/>
      <c r="EF49" s="26"/>
      <c r="EG49" s="26"/>
      <c r="EH49" s="26"/>
      <c r="EI49" s="26"/>
      <c r="EJ49" s="26"/>
      <c r="EK49" s="26"/>
      <c r="EL49" s="26"/>
      <c r="EM49" s="26"/>
      <c r="EN49" s="26"/>
      <c r="EO49" s="26"/>
      <c r="EP49" s="26"/>
      <c r="EQ49" s="26"/>
      <c r="ER49" s="26"/>
      <c r="ES49" s="26"/>
      <c r="ET49" s="26"/>
      <c r="EU49" s="26"/>
      <c r="EV49" s="26"/>
      <c r="EW49" s="26"/>
      <c r="EX49" s="26"/>
      <c r="EY49" s="26"/>
      <c r="EZ49" s="26"/>
      <c r="FA49" s="26"/>
      <c r="FB49" s="26"/>
      <c r="FC49" s="26"/>
      <c r="FD49" s="26"/>
      <c r="FE49" s="26"/>
      <c r="FF49" s="26"/>
      <c r="FG49" s="26"/>
      <c r="FH49" s="26"/>
      <c r="FI49" s="26"/>
      <c r="FJ49" s="26"/>
      <c r="FK49" s="26"/>
      <c r="FL49" s="26"/>
      <c r="FM49" s="26"/>
      <c r="FN49" s="26"/>
      <c r="FO49" s="26"/>
      <c r="FP49" s="26"/>
      <c r="FQ49" s="26"/>
      <c r="FR49" s="26"/>
      <c r="FS49" s="26"/>
      <c r="FT49" s="26"/>
      <c r="FU49" s="26"/>
      <c r="FV49" s="26"/>
      <c r="FW49" s="26"/>
      <c r="FX49" s="26"/>
      <c r="FY49" s="26"/>
      <c r="FZ49" s="26"/>
      <c r="GA49" s="26"/>
      <c r="GB49" s="26"/>
      <c r="GC49" s="26"/>
      <c r="GD49" s="26"/>
      <c r="GE49" s="26"/>
      <c r="GF49" s="26"/>
      <c r="GG49" s="26"/>
      <c r="GH49" s="26"/>
      <c r="GI49" s="26"/>
      <c r="GJ49" s="26"/>
      <c r="GK49" s="26"/>
      <c r="GL49" s="26"/>
      <c r="GM49" s="26"/>
      <c r="GN49" s="26"/>
      <c r="GO49" s="26"/>
      <c r="GP49" s="26"/>
      <c r="GQ49" s="26"/>
      <c r="GR49" s="26"/>
      <c r="GS49" s="26"/>
      <c r="GT49" s="26"/>
      <c r="GU49" s="26"/>
      <c r="GV49" s="26"/>
      <c r="GW49" s="26"/>
      <c r="GX49" s="26"/>
      <c r="GY49" s="26"/>
      <c r="GZ49" s="26"/>
      <c r="HA49" s="26"/>
      <c r="HB49" s="26"/>
      <c r="HC49" s="26"/>
      <c r="HD49" s="26"/>
      <c r="HE49" s="26"/>
      <c r="HF49" s="26"/>
      <c r="HG49" s="26"/>
      <c r="HH49" s="26"/>
      <c r="HI49" s="26"/>
      <c r="HJ49" s="26"/>
      <c r="HK49" s="26"/>
      <c r="HL49" s="26"/>
      <c r="HM49" s="26"/>
      <c r="HN49" s="26"/>
      <c r="HO49" s="26"/>
      <c r="HP49" s="26"/>
      <c r="HQ49" s="26"/>
      <c r="HR49" s="26"/>
      <c r="HS49" s="26"/>
      <c r="HT49" s="26"/>
      <c r="HU49" s="26"/>
      <c r="HV49" s="26"/>
      <c r="HW49" s="26"/>
      <c r="HX49" s="26"/>
      <c r="HY49" s="26"/>
      <c r="HZ49" s="26"/>
      <c r="IA49" s="26"/>
      <c r="IB49" s="26"/>
      <c r="IC49" s="26"/>
      <c r="ID49" s="26"/>
      <c r="IE49" s="26"/>
      <c r="IF49" s="26"/>
      <c r="IG49" s="26"/>
      <c r="IH49" s="26"/>
      <c r="II49" s="26"/>
      <c r="IJ49" s="26"/>
      <c r="IK49" s="26"/>
      <c r="IL49" s="26"/>
      <c r="IM49" s="26"/>
      <c r="IN49" s="26"/>
      <c r="IO49" s="26"/>
      <c r="IP49" s="26"/>
      <c r="IQ49" s="26"/>
      <c r="IR49" s="26"/>
      <c r="IS49" s="26"/>
      <c r="IT49" s="26"/>
    </row>
    <row r="50" spans="1:254" s="48" customFormat="1" x14ac:dyDescent="0.3">
      <c r="A50" s="30" t="s">
        <v>94</v>
      </c>
      <c r="B50" s="31" t="s">
        <v>95</v>
      </c>
      <c r="C50" s="49"/>
      <c r="D50" s="50"/>
      <c r="E50" s="49"/>
      <c r="F50" s="56">
        <v>2500</v>
      </c>
      <c r="G50" s="51"/>
      <c r="H50" s="51"/>
      <c r="I50" s="51"/>
      <c r="J50" s="51"/>
      <c r="K50" s="51"/>
      <c r="L50" s="51"/>
      <c r="M50" s="51"/>
      <c r="N50" s="51"/>
      <c r="O50" s="26"/>
      <c r="P50" s="26"/>
      <c r="Q50" s="26"/>
      <c r="R50" s="26"/>
      <c r="S50" s="26"/>
      <c r="T50" s="26"/>
      <c r="U50" s="26"/>
      <c r="V50" s="26"/>
      <c r="W50" s="26"/>
      <c r="X50" s="26"/>
      <c r="Y50" s="26"/>
      <c r="Z50" s="26"/>
      <c r="AA50" s="26"/>
      <c r="AB50" s="26"/>
      <c r="AC50" s="26"/>
      <c r="AD50" s="26"/>
      <c r="AE50" s="26"/>
      <c r="AF50" s="26"/>
      <c r="AG50" s="26"/>
      <c r="AH50" s="26"/>
      <c r="AI50" s="26"/>
      <c r="AJ50" s="26"/>
      <c r="AK50" s="26"/>
      <c r="AL50" s="26"/>
      <c r="AM50" s="26"/>
      <c r="AN50" s="26"/>
      <c r="AO50" s="26"/>
      <c r="AP50" s="26"/>
      <c r="AQ50" s="26"/>
      <c r="AR50" s="26"/>
      <c r="AS50" s="26"/>
      <c r="AT50" s="26"/>
      <c r="AU50" s="26"/>
      <c r="AV50" s="26"/>
      <c r="AW50" s="26"/>
      <c r="AX50" s="26"/>
      <c r="AY50" s="26"/>
      <c r="AZ50" s="26"/>
      <c r="BA50" s="26"/>
      <c r="BB50" s="26"/>
      <c r="BC50" s="26"/>
      <c r="BD50" s="26"/>
      <c r="BE50" s="26"/>
      <c r="BF50" s="26"/>
      <c r="BG50" s="26"/>
      <c r="BH50" s="26"/>
      <c r="BI50" s="26"/>
      <c r="BJ50" s="26"/>
      <c r="BK50" s="26"/>
      <c r="BL50" s="26"/>
      <c r="BM50" s="26"/>
      <c r="BN50" s="26"/>
      <c r="BO50" s="26"/>
      <c r="BP50" s="26"/>
      <c r="BQ50" s="26"/>
      <c r="BR50" s="26"/>
      <c r="BS50" s="26"/>
      <c r="BT50" s="26"/>
      <c r="BU50" s="26"/>
      <c r="BV50" s="26"/>
      <c r="BW50" s="26"/>
      <c r="BX50" s="26"/>
      <c r="BY50" s="26"/>
      <c r="BZ50" s="26"/>
      <c r="CA50" s="26"/>
      <c r="CB50" s="26"/>
      <c r="CC50" s="26"/>
      <c r="CD50" s="26"/>
      <c r="CE50" s="26"/>
      <c r="CF50" s="26"/>
      <c r="CG50" s="26"/>
      <c r="CH50" s="26"/>
      <c r="CI50" s="26"/>
      <c r="CJ50" s="26"/>
      <c r="CK50" s="26"/>
      <c r="CL50" s="26"/>
      <c r="CM50" s="26"/>
      <c r="CN50" s="26"/>
      <c r="CO50" s="26"/>
      <c r="CP50" s="26"/>
      <c r="CQ50" s="26"/>
      <c r="CR50" s="26"/>
      <c r="CS50" s="26"/>
      <c r="CT50" s="26"/>
      <c r="CU50" s="26"/>
      <c r="CV50" s="26"/>
      <c r="CW50" s="26"/>
      <c r="CX50" s="26"/>
      <c r="CY50" s="26"/>
      <c r="CZ50" s="26"/>
      <c r="DA50" s="26"/>
      <c r="DB50" s="26"/>
      <c r="DC50" s="26"/>
      <c r="DD50" s="26"/>
      <c r="DE50" s="26"/>
      <c r="DF50" s="26"/>
      <c r="DG50" s="26"/>
      <c r="DH50" s="26"/>
      <c r="DI50" s="26"/>
      <c r="DJ50" s="26"/>
      <c r="DK50" s="26"/>
      <c r="DL50" s="26"/>
      <c r="DM50" s="26"/>
      <c r="DN50" s="26"/>
      <c r="DO50" s="26"/>
      <c r="DP50" s="26"/>
      <c r="DQ50" s="26"/>
      <c r="DR50" s="26"/>
      <c r="DS50" s="26"/>
      <c r="DT50" s="26"/>
      <c r="DU50" s="26"/>
      <c r="DV50" s="26"/>
      <c r="DW50" s="26"/>
      <c r="DX50" s="26"/>
      <c r="DY50" s="26"/>
      <c r="DZ50" s="26"/>
      <c r="EA50" s="26"/>
      <c r="EB50" s="26"/>
      <c r="EC50" s="26"/>
      <c r="ED50" s="26"/>
      <c r="EE50" s="26"/>
      <c r="EF50" s="26"/>
      <c r="EG50" s="26"/>
      <c r="EH50" s="26"/>
      <c r="EI50" s="26"/>
      <c r="EJ50" s="26"/>
      <c r="EK50" s="26"/>
      <c r="EL50" s="26"/>
      <c r="EM50" s="26"/>
      <c r="EN50" s="26"/>
      <c r="EO50" s="26"/>
      <c r="EP50" s="26"/>
      <c r="EQ50" s="26"/>
      <c r="ER50" s="26"/>
      <c r="ES50" s="26"/>
      <c r="ET50" s="26"/>
      <c r="EU50" s="26"/>
      <c r="EV50" s="26"/>
      <c r="EW50" s="26"/>
      <c r="EX50" s="26"/>
      <c r="EY50" s="26"/>
      <c r="EZ50" s="26"/>
      <c r="FA50" s="26"/>
      <c r="FB50" s="26"/>
      <c r="FC50" s="26"/>
      <c r="FD50" s="26"/>
      <c r="FE50" s="26"/>
      <c r="FF50" s="26"/>
      <c r="FG50" s="26"/>
      <c r="FH50" s="26"/>
      <c r="FI50" s="26"/>
      <c r="FJ50" s="26"/>
      <c r="FK50" s="26"/>
      <c r="FL50" s="26"/>
      <c r="FM50" s="26"/>
      <c r="FN50" s="26"/>
      <c r="FO50" s="26"/>
      <c r="FP50" s="26"/>
      <c r="FQ50" s="26"/>
      <c r="FR50" s="26"/>
      <c r="FS50" s="26"/>
      <c r="FT50" s="26"/>
      <c r="FU50" s="26"/>
      <c r="FV50" s="26"/>
      <c r="FW50" s="26"/>
      <c r="FX50" s="26"/>
      <c r="FY50" s="26"/>
      <c r="FZ50" s="26"/>
      <c r="GA50" s="26"/>
      <c r="GB50" s="26"/>
      <c r="GC50" s="26"/>
      <c r="GD50" s="26"/>
      <c r="GE50" s="26"/>
      <c r="GF50" s="26"/>
      <c r="GG50" s="26"/>
      <c r="GH50" s="26"/>
      <c r="GI50" s="26"/>
      <c r="GJ50" s="26"/>
      <c r="GK50" s="26"/>
      <c r="GL50" s="26"/>
      <c r="GM50" s="26"/>
      <c r="GN50" s="26"/>
      <c r="GO50" s="26"/>
      <c r="GP50" s="26"/>
      <c r="GQ50" s="26"/>
      <c r="GR50" s="26"/>
      <c r="GS50" s="26"/>
      <c r="GT50" s="26"/>
      <c r="GU50" s="26"/>
      <c r="GV50" s="26"/>
      <c r="GW50" s="26"/>
      <c r="GX50" s="26"/>
      <c r="GY50" s="26"/>
      <c r="GZ50" s="26"/>
      <c r="HA50" s="26"/>
      <c r="HB50" s="26"/>
      <c r="HC50" s="26"/>
      <c r="HD50" s="26"/>
      <c r="HE50" s="26"/>
      <c r="HF50" s="26"/>
      <c r="HG50" s="26"/>
      <c r="HH50" s="26"/>
      <c r="HI50" s="26"/>
      <c r="HJ50" s="26"/>
      <c r="HK50" s="26"/>
      <c r="HL50" s="26"/>
      <c r="HM50" s="26"/>
      <c r="HN50" s="26"/>
      <c r="HO50" s="26"/>
      <c r="HP50" s="26"/>
      <c r="HQ50" s="26"/>
      <c r="HR50" s="26"/>
      <c r="HS50" s="26"/>
      <c r="HT50" s="26"/>
      <c r="HU50" s="26"/>
      <c r="HV50" s="26"/>
      <c r="HW50" s="26"/>
      <c r="HX50" s="26"/>
      <c r="HY50" s="26"/>
      <c r="HZ50" s="26"/>
      <c r="IA50" s="26"/>
      <c r="IB50" s="26"/>
      <c r="IC50" s="26"/>
      <c r="ID50" s="26"/>
      <c r="IE50" s="26"/>
      <c r="IF50" s="26"/>
      <c r="IG50" s="26"/>
      <c r="IH50" s="26"/>
      <c r="II50" s="26"/>
      <c r="IJ50" s="26"/>
      <c r="IK50" s="26"/>
      <c r="IL50" s="26"/>
      <c r="IM50" s="26"/>
      <c r="IN50" s="26"/>
      <c r="IO50" s="26"/>
      <c r="IP50" s="26"/>
      <c r="IQ50" s="26"/>
      <c r="IR50" s="26"/>
      <c r="IS50" s="26"/>
      <c r="IT50" s="26"/>
    </row>
    <row r="51" spans="1:254" s="48" customFormat="1" x14ac:dyDescent="0.3">
      <c r="A51" s="30" t="s">
        <v>96</v>
      </c>
      <c r="B51" s="31" t="s">
        <v>97</v>
      </c>
      <c r="C51" s="49"/>
      <c r="D51" s="50"/>
      <c r="E51" s="49"/>
      <c r="F51" s="56">
        <v>2000</v>
      </c>
      <c r="G51" s="51"/>
      <c r="H51" s="51"/>
      <c r="I51" s="51"/>
      <c r="J51" s="51"/>
      <c r="K51" s="51"/>
      <c r="L51" s="51"/>
      <c r="M51" s="51"/>
      <c r="N51" s="51"/>
      <c r="O51" s="26"/>
      <c r="P51" s="26"/>
      <c r="Q51" s="26"/>
      <c r="R51" s="26"/>
      <c r="S51" s="26"/>
      <c r="T51" s="26"/>
      <c r="U51" s="26"/>
      <c r="V51" s="26"/>
      <c r="W51" s="26"/>
      <c r="X51" s="26"/>
      <c r="Y51" s="26"/>
      <c r="Z51" s="26"/>
      <c r="AA51" s="26"/>
      <c r="AB51" s="26"/>
      <c r="AC51" s="26"/>
      <c r="AD51" s="26"/>
      <c r="AE51" s="26"/>
      <c r="AF51" s="26"/>
      <c r="AG51" s="26"/>
      <c r="AH51" s="26"/>
      <c r="AI51" s="26"/>
      <c r="AJ51" s="26"/>
      <c r="AK51" s="26"/>
      <c r="AL51" s="26"/>
      <c r="AM51" s="26"/>
      <c r="AN51" s="26"/>
      <c r="AO51" s="26"/>
      <c r="AP51" s="26"/>
      <c r="AQ51" s="26"/>
      <c r="AR51" s="26"/>
      <c r="AS51" s="26"/>
      <c r="AT51" s="26"/>
      <c r="AU51" s="26"/>
      <c r="AV51" s="26"/>
      <c r="AW51" s="26"/>
      <c r="AX51" s="26"/>
      <c r="AY51" s="26"/>
      <c r="AZ51" s="26"/>
      <c r="BA51" s="26"/>
      <c r="BB51" s="26"/>
      <c r="BC51" s="26"/>
      <c r="BD51" s="26"/>
      <c r="BE51" s="26"/>
      <c r="BF51" s="26"/>
      <c r="BG51" s="26"/>
      <c r="BH51" s="26"/>
      <c r="BI51" s="26"/>
      <c r="BJ51" s="26"/>
      <c r="BK51" s="26"/>
      <c r="BL51" s="26"/>
      <c r="BM51" s="26"/>
      <c r="BN51" s="26"/>
      <c r="BO51" s="26"/>
      <c r="BP51" s="26"/>
      <c r="BQ51" s="26"/>
      <c r="BR51" s="26"/>
      <c r="BS51" s="26"/>
      <c r="BT51" s="26"/>
      <c r="BU51" s="26"/>
      <c r="BV51" s="26"/>
      <c r="BW51" s="26"/>
      <c r="BX51" s="26"/>
      <c r="BY51" s="26"/>
      <c r="BZ51" s="26"/>
      <c r="CA51" s="26"/>
      <c r="CB51" s="26"/>
      <c r="CC51" s="26"/>
      <c r="CD51" s="26"/>
      <c r="CE51" s="26"/>
      <c r="CF51" s="26"/>
      <c r="CG51" s="26"/>
      <c r="CH51" s="26"/>
      <c r="CI51" s="26"/>
      <c r="CJ51" s="26"/>
      <c r="CK51" s="26"/>
      <c r="CL51" s="26"/>
      <c r="CM51" s="26"/>
      <c r="CN51" s="26"/>
      <c r="CO51" s="26"/>
      <c r="CP51" s="26"/>
      <c r="CQ51" s="26"/>
      <c r="CR51" s="26"/>
      <c r="CS51" s="26"/>
      <c r="CT51" s="26"/>
      <c r="CU51" s="26"/>
      <c r="CV51" s="26"/>
      <c r="CW51" s="26"/>
      <c r="CX51" s="26"/>
      <c r="CY51" s="26"/>
      <c r="CZ51" s="26"/>
      <c r="DA51" s="26"/>
      <c r="DB51" s="26"/>
      <c r="DC51" s="26"/>
      <c r="DD51" s="26"/>
      <c r="DE51" s="26"/>
      <c r="DF51" s="26"/>
      <c r="DG51" s="26"/>
      <c r="DH51" s="26"/>
      <c r="DI51" s="26"/>
      <c r="DJ51" s="26"/>
      <c r="DK51" s="26"/>
      <c r="DL51" s="26"/>
      <c r="DM51" s="26"/>
      <c r="DN51" s="26"/>
      <c r="DO51" s="26"/>
      <c r="DP51" s="26"/>
      <c r="DQ51" s="26"/>
      <c r="DR51" s="26"/>
      <c r="DS51" s="26"/>
      <c r="DT51" s="26"/>
      <c r="DU51" s="26"/>
      <c r="DV51" s="26"/>
      <c r="DW51" s="26"/>
      <c r="DX51" s="26"/>
      <c r="DY51" s="26"/>
      <c r="DZ51" s="26"/>
      <c r="EA51" s="26"/>
      <c r="EB51" s="26"/>
      <c r="EC51" s="26"/>
      <c r="ED51" s="26"/>
      <c r="EE51" s="26"/>
      <c r="EF51" s="26"/>
      <c r="EG51" s="26"/>
      <c r="EH51" s="26"/>
      <c r="EI51" s="26"/>
      <c r="EJ51" s="26"/>
      <c r="EK51" s="26"/>
      <c r="EL51" s="26"/>
      <c r="EM51" s="26"/>
      <c r="EN51" s="26"/>
      <c r="EO51" s="26"/>
      <c r="EP51" s="26"/>
      <c r="EQ51" s="26"/>
      <c r="ER51" s="26"/>
      <c r="ES51" s="26"/>
      <c r="ET51" s="26"/>
      <c r="EU51" s="26"/>
      <c r="EV51" s="26"/>
      <c r="EW51" s="26"/>
      <c r="EX51" s="26"/>
      <c r="EY51" s="26"/>
      <c r="EZ51" s="26"/>
      <c r="FA51" s="26"/>
      <c r="FB51" s="26"/>
      <c r="FC51" s="26"/>
      <c r="FD51" s="26"/>
      <c r="FE51" s="26"/>
      <c r="FF51" s="26"/>
      <c r="FG51" s="26"/>
      <c r="FH51" s="26"/>
      <c r="FI51" s="26"/>
      <c r="FJ51" s="26"/>
      <c r="FK51" s="26"/>
      <c r="FL51" s="26"/>
      <c r="FM51" s="26"/>
      <c r="FN51" s="26"/>
      <c r="FO51" s="26"/>
      <c r="FP51" s="26"/>
      <c r="FQ51" s="26"/>
      <c r="FR51" s="26"/>
      <c r="FS51" s="26"/>
      <c r="FT51" s="26"/>
      <c r="FU51" s="26"/>
      <c r="FV51" s="26"/>
      <c r="FW51" s="26"/>
      <c r="FX51" s="26"/>
      <c r="FY51" s="26"/>
      <c r="FZ51" s="26"/>
      <c r="GA51" s="26"/>
      <c r="GB51" s="26"/>
      <c r="GC51" s="26"/>
      <c r="GD51" s="26"/>
      <c r="GE51" s="26"/>
      <c r="GF51" s="26"/>
      <c r="GG51" s="26"/>
      <c r="GH51" s="26"/>
      <c r="GI51" s="26"/>
      <c r="GJ51" s="26"/>
      <c r="GK51" s="26"/>
      <c r="GL51" s="26"/>
      <c r="GM51" s="26"/>
      <c r="GN51" s="26"/>
      <c r="GO51" s="26"/>
      <c r="GP51" s="26"/>
      <c r="GQ51" s="26"/>
      <c r="GR51" s="26"/>
      <c r="GS51" s="26"/>
      <c r="GT51" s="26"/>
      <c r="GU51" s="26"/>
      <c r="GV51" s="26"/>
      <c r="GW51" s="26"/>
      <c r="GX51" s="26"/>
      <c r="GY51" s="26"/>
      <c r="GZ51" s="26"/>
      <c r="HA51" s="26"/>
      <c r="HB51" s="26"/>
      <c r="HC51" s="26"/>
      <c r="HD51" s="26"/>
      <c r="HE51" s="26"/>
      <c r="HF51" s="26"/>
      <c r="HG51" s="26"/>
      <c r="HH51" s="26"/>
      <c r="HI51" s="26"/>
      <c r="HJ51" s="26"/>
      <c r="HK51" s="26"/>
      <c r="HL51" s="26"/>
      <c r="HM51" s="26"/>
      <c r="HN51" s="26"/>
      <c r="HO51" s="26"/>
      <c r="HP51" s="26"/>
      <c r="HQ51" s="26"/>
      <c r="HR51" s="26"/>
      <c r="HS51" s="26"/>
      <c r="HT51" s="26"/>
      <c r="HU51" s="26"/>
      <c r="HV51" s="26"/>
      <c r="HW51" s="26"/>
      <c r="HX51" s="26"/>
      <c r="HY51" s="26"/>
      <c r="HZ51" s="26"/>
      <c r="IA51" s="26"/>
      <c r="IB51" s="26"/>
      <c r="IC51" s="26"/>
      <c r="ID51" s="26"/>
      <c r="IE51" s="26"/>
      <c r="IF51" s="26"/>
      <c r="IG51" s="26"/>
      <c r="IH51" s="26"/>
      <c r="II51" s="26"/>
      <c r="IJ51" s="26"/>
      <c r="IK51" s="26"/>
      <c r="IL51" s="26"/>
      <c r="IM51" s="26"/>
      <c r="IN51" s="26"/>
      <c r="IO51" s="26"/>
      <c r="IP51" s="26"/>
      <c r="IQ51" s="26"/>
      <c r="IR51" s="26"/>
      <c r="IS51" s="26"/>
      <c r="IT51" s="26"/>
    </row>
    <row r="52" spans="1:254" s="48" customFormat="1" x14ac:dyDescent="0.3">
      <c r="A52" s="42">
        <v>2.6</v>
      </c>
      <c r="B52" s="43" t="s">
        <v>74</v>
      </c>
      <c r="C52" s="44"/>
      <c r="D52" s="45"/>
      <c r="E52" s="44"/>
      <c r="F52" s="57"/>
      <c r="G52" s="46"/>
      <c r="H52" s="46"/>
      <c r="I52" s="46"/>
      <c r="J52" s="46"/>
      <c r="K52" s="46"/>
      <c r="L52" s="46"/>
      <c r="M52" s="46"/>
      <c r="N52" s="46"/>
      <c r="O52" s="26"/>
      <c r="P52" s="26"/>
      <c r="Q52" s="26"/>
      <c r="R52" s="26"/>
      <c r="S52" s="26"/>
      <c r="T52" s="26"/>
      <c r="U52" s="26"/>
      <c r="V52" s="26"/>
      <c r="W52" s="26"/>
      <c r="X52" s="26"/>
      <c r="Y52" s="26"/>
      <c r="Z52" s="26"/>
      <c r="AA52" s="26"/>
      <c r="AB52" s="26"/>
      <c r="AC52" s="26"/>
      <c r="AD52" s="26"/>
      <c r="AE52" s="26"/>
      <c r="AF52" s="26"/>
      <c r="AG52" s="26"/>
      <c r="AH52" s="26"/>
      <c r="AI52" s="26"/>
      <c r="AJ52" s="26"/>
      <c r="AK52" s="26"/>
      <c r="AL52" s="26"/>
      <c r="AM52" s="26"/>
      <c r="AN52" s="26"/>
      <c r="AO52" s="26"/>
      <c r="AP52" s="26"/>
      <c r="AQ52" s="26"/>
      <c r="AR52" s="26"/>
      <c r="AS52" s="26"/>
      <c r="AT52" s="26"/>
      <c r="AU52" s="26"/>
      <c r="AV52" s="26"/>
      <c r="AW52" s="26"/>
      <c r="AX52" s="26"/>
      <c r="AY52" s="26"/>
      <c r="AZ52" s="26"/>
      <c r="BA52" s="26"/>
      <c r="BB52" s="26"/>
      <c r="BC52" s="26"/>
      <c r="BD52" s="26"/>
      <c r="BE52" s="26"/>
      <c r="BF52" s="26"/>
      <c r="BG52" s="26"/>
      <c r="BH52" s="26"/>
      <c r="BI52" s="26"/>
      <c r="BJ52" s="26"/>
      <c r="BK52" s="26"/>
      <c r="BL52" s="26"/>
      <c r="BM52" s="26"/>
      <c r="BN52" s="26"/>
      <c r="BO52" s="26"/>
      <c r="BP52" s="26"/>
      <c r="BQ52" s="26"/>
      <c r="BR52" s="26"/>
      <c r="BS52" s="26"/>
      <c r="BT52" s="26"/>
      <c r="BU52" s="26"/>
      <c r="BV52" s="26"/>
      <c r="BW52" s="26"/>
      <c r="BX52" s="26"/>
      <c r="BY52" s="26"/>
      <c r="BZ52" s="26"/>
      <c r="CA52" s="26"/>
      <c r="CB52" s="26"/>
      <c r="CC52" s="26"/>
      <c r="CD52" s="26"/>
      <c r="CE52" s="26"/>
      <c r="CF52" s="26"/>
      <c r="CG52" s="26"/>
      <c r="CH52" s="26"/>
      <c r="CI52" s="26"/>
      <c r="CJ52" s="26"/>
      <c r="CK52" s="26"/>
      <c r="CL52" s="26"/>
      <c r="CM52" s="26"/>
      <c r="CN52" s="26"/>
      <c r="CO52" s="26"/>
      <c r="CP52" s="26"/>
      <c r="CQ52" s="26"/>
      <c r="CR52" s="26"/>
      <c r="CS52" s="26"/>
      <c r="CT52" s="26"/>
      <c r="CU52" s="26"/>
      <c r="CV52" s="26"/>
      <c r="CW52" s="26"/>
      <c r="CX52" s="26"/>
      <c r="CY52" s="26"/>
      <c r="CZ52" s="26"/>
      <c r="DA52" s="26"/>
      <c r="DB52" s="26"/>
      <c r="DC52" s="26"/>
      <c r="DD52" s="26"/>
      <c r="DE52" s="26"/>
      <c r="DF52" s="26"/>
      <c r="DG52" s="26"/>
      <c r="DH52" s="26"/>
      <c r="DI52" s="26"/>
      <c r="DJ52" s="26"/>
      <c r="DK52" s="26"/>
      <c r="DL52" s="26"/>
      <c r="DM52" s="26"/>
      <c r="DN52" s="26"/>
      <c r="DO52" s="26"/>
      <c r="DP52" s="26"/>
      <c r="DQ52" s="26"/>
      <c r="DR52" s="26"/>
      <c r="DS52" s="26"/>
      <c r="DT52" s="26"/>
      <c r="DU52" s="26"/>
      <c r="DV52" s="26"/>
      <c r="DW52" s="26"/>
      <c r="DX52" s="26"/>
      <c r="DY52" s="26"/>
      <c r="DZ52" s="26"/>
      <c r="EA52" s="26"/>
      <c r="EB52" s="26"/>
      <c r="EC52" s="26"/>
      <c r="ED52" s="26"/>
      <c r="EE52" s="26"/>
      <c r="EF52" s="26"/>
      <c r="EG52" s="26"/>
      <c r="EH52" s="26"/>
      <c r="EI52" s="26"/>
      <c r="EJ52" s="26"/>
      <c r="EK52" s="26"/>
      <c r="EL52" s="26"/>
      <c r="EM52" s="26"/>
      <c r="EN52" s="26"/>
      <c r="EO52" s="26"/>
      <c r="EP52" s="26"/>
      <c r="EQ52" s="26"/>
      <c r="ER52" s="26"/>
      <c r="ES52" s="26"/>
      <c r="ET52" s="26"/>
      <c r="EU52" s="26"/>
      <c r="EV52" s="26"/>
      <c r="EW52" s="26"/>
      <c r="EX52" s="26"/>
      <c r="EY52" s="26"/>
      <c r="EZ52" s="26"/>
      <c r="FA52" s="26"/>
      <c r="FB52" s="26"/>
      <c r="FC52" s="26"/>
      <c r="FD52" s="26"/>
      <c r="FE52" s="26"/>
      <c r="FF52" s="26"/>
      <c r="FG52" s="26"/>
      <c r="FH52" s="26"/>
      <c r="FI52" s="26"/>
      <c r="FJ52" s="26"/>
      <c r="FK52" s="26"/>
      <c r="FL52" s="26"/>
      <c r="FM52" s="26"/>
      <c r="FN52" s="26"/>
      <c r="FO52" s="26"/>
      <c r="FP52" s="26"/>
      <c r="FQ52" s="26"/>
      <c r="FR52" s="26"/>
      <c r="FS52" s="26"/>
      <c r="FT52" s="26"/>
      <c r="FU52" s="26"/>
      <c r="FV52" s="26"/>
      <c r="FW52" s="26"/>
      <c r="FX52" s="26"/>
      <c r="FY52" s="26"/>
      <c r="FZ52" s="26"/>
      <c r="GA52" s="26"/>
      <c r="GB52" s="26"/>
      <c r="GC52" s="26"/>
      <c r="GD52" s="26"/>
      <c r="GE52" s="26"/>
      <c r="GF52" s="26"/>
      <c r="GG52" s="26"/>
      <c r="GH52" s="26"/>
      <c r="GI52" s="26"/>
      <c r="GJ52" s="26"/>
      <c r="GK52" s="26"/>
      <c r="GL52" s="26"/>
      <c r="GM52" s="26"/>
      <c r="GN52" s="26"/>
      <c r="GO52" s="26"/>
      <c r="GP52" s="26"/>
      <c r="GQ52" s="26"/>
      <c r="GR52" s="26"/>
      <c r="GS52" s="26"/>
      <c r="GT52" s="26"/>
      <c r="GU52" s="26"/>
      <c r="GV52" s="26"/>
      <c r="GW52" s="26"/>
      <c r="GX52" s="26"/>
      <c r="GY52" s="26"/>
      <c r="GZ52" s="26"/>
      <c r="HA52" s="26"/>
      <c r="HB52" s="26"/>
      <c r="HC52" s="26"/>
      <c r="HD52" s="26"/>
      <c r="HE52" s="26"/>
      <c r="HF52" s="26"/>
      <c r="HG52" s="26"/>
      <c r="HH52" s="26"/>
      <c r="HI52" s="26"/>
      <c r="HJ52" s="26"/>
      <c r="HK52" s="26"/>
      <c r="HL52" s="26"/>
      <c r="HM52" s="26"/>
      <c r="HN52" s="26"/>
      <c r="HO52" s="26"/>
      <c r="HP52" s="26"/>
      <c r="HQ52" s="26"/>
      <c r="HR52" s="26"/>
      <c r="HS52" s="26"/>
      <c r="HT52" s="26"/>
      <c r="HU52" s="26"/>
      <c r="HV52" s="26"/>
      <c r="HW52" s="26"/>
      <c r="HX52" s="26"/>
      <c r="HY52" s="26"/>
      <c r="HZ52" s="26"/>
      <c r="IA52" s="26"/>
      <c r="IB52" s="26"/>
      <c r="IC52" s="26"/>
      <c r="ID52" s="26"/>
      <c r="IE52" s="26"/>
      <c r="IF52" s="26"/>
      <c r="IG52" s="26"/>
      <c r="IH52" s="26"/>
      <c r="II52" s="26"/>
      <c r="IJ52" s="26"/>
      <c r="IK52" s="26"/>
      <c r="IL52" s="26"/>
      <c r="IM52" s="26"/>
      <c r="IN52" s="26"/>
      <c r="IO52" s="26"/>
      <c r="IP52" s="26"/>
      <c r="IQ52" s="26"/>
      <c r="IR52" s="26"/>
      <c r="IS52" s="26"/>
      <c r="IT52" s="26"/>
    </row>
    <row r="53" spans="1:254" s="48" customFormat="1" x14ac:dyDescent="0.3">
      <c r="A53" s="30" t="s">
        <v>98</v>
      </c>
      <c r="B53" s="31" t="s">
        <v>51</v>
      </c>
      <c r="C53" s="49"/>
      <c r="D53" s="50"/>
      <c r="E53" s="49"/>
      <c r="F53" s="56">
        <v>800</v>
      </c>
      <c r="G53" s="51"/>
      <c r="H53" s="51"/>
      <c r="I53" s="51"/>
      <c r="J53" s="51"/>
      <c r="K53" s="51"/>
      <c r="L53" s="51"/>
      <c r="M53" s="51"/>
      <c r="N53" s="51"/>
      <c r="O53" s="26"/>
      <c r="P53" s="26"/>
      <c r="Q53" s="26"/>
      <c r="R53" s="26"/>
      <c r="S53" s="26"/>
      <c r="T53" s="26"/>
      <c r="U53" s="26"/>
      <c r="V53" s="26"/>
      <c r="W53" s="26"/>
      <c r="X53" s="26"/>
      <c r="Y53" s="26"/>
      <c r="Z53" s="26"/>
      <c r="AA53" s="26"/>
      <c r="AB53" s="26"/>
      <c r="AC53" s="26"/>
      <c r="AD53" s="26"/>
      <c r="AE53" s="26"/>
      <c r="AF53" s="26"/>
      <c r="AG53" s="26"/>
      <c r="AH53" s="26"/>
      <c r="AI53" s="26"/>
      <c r="AJ53" s="26"/>
      <c r="AK53" s="26"/>
      <c r="AL53" s="26"/>
      <c r="AM53" s="26"/>
      <c r="AN53" s="26"/>
      <c r="AO53" s="26"/>
      <c r="AP53" s="26"/>
      <c r="AQ53" s="26"/>
      <c r="AR53" s="26"/>
      <c r="AS53" s="26"/>
      <c r="AT53" s="26"/>
      <c r="AU53" s="26"/>
      <c r="AV53" s="26"/>
      <c r="AW53" s="26"/>
      <c r="AX53" s="26"/>
      <c r="AY53" s="26"/>
      <c r="AZ53" s="26"/>
      <c r="BA53" s="26"/>
      <c r="BB53" s="26"/>
      <c r="BC53" s="26"/>
      <c r="BD53" s="26"/>
      <c r="BE53" s="26"/>
      <c r="BF53" s="26"/>
      <c r="BG53" s="26"/>
      <c r="BH53" s="26"/>
      <c r="BI53" s="26"/>
      <c r="BJ53" s="26"/>
      <c r="BK53" s="26"/>
      <c r="BL53" s="26"/>
      <c r="BM53" s="26"/>
      <c r="BN53" s="26"/>
      <c r="BO53" s="26"/>
      <c r="BP53" s="26"/>
      <c r="BQ53" s="26"/>
      <c r="BR53" s="26"/>
      <c r="BS53" s="26"/>
      <c r="BT53" s="26"/>
      <c r="BU53" s="26"/>
      <c r="BV53" s="26"/>
      <c r="BW53" s="26"/>
      <c r="BX53" s="26"/>
      <c r="BY53" s="26"/>
      <c r="BZ53" s="26"/>
      <c r="CA53" s="26"/>
      <c r="CB53" s="26"/>
      <c r="CC53" s="26"/>
      <c r="CD53" s="26"/>
      <c r="CE53" s="26"/>
      <c r="CF53" s="26"/>
      <c r="CG53" s="26"/>
      <c r="CH53" s="26"/>
      <c r="CI53" s="26"/>
      <c r="CJ53" s="26"/>
      <c r="CK53" s="26"/>
      <c r="CL53" s="26"/>
      <c r="CM53" s="26"/>
      <c r="CN53" s="26"/>
      <c r="CO53" s="26"/>
      <c r="CP53" s="26"/>
      <c r="CQ53" s="26"/>
      <c r="CR53" s="26"/>
      <c r="CS53" s="26"/>
      <c r="CT53" s="26"/>
      <c r="CU53" s="26"/>
      <c r="CV53" s="26"/>
      <c r="CW53" s="26"/>
      <c r="CX53" s="26"/>
      <c r="CY53" s="26"/>
      <c r="CZ53" s="26"/>
      <c r="DA53" s="26"/>
      <c r="DB53" s="26"/>
      <c r="DC53" s="26"/>
      <c r="DD53" s="26"/>
      <c r="DE53" s="26"/>
      <c r="DF53" s="26"/>
      <c r="DG53" s="26"/>
      <c r="DH53" s="26"/>
      <c r="DI53" s="26"/>
      <c r="DJ53" s="26"/>
      <c r="DK53" s="26"/>
      <c r="DL53" s="26"/>
      <c r="DM53" s="26"/>
      <c r="DN53" s="26"/>
      <c r="DO53" s="26"/>
      <c r="DP53" s="26"/>
      <c r="DQ53" s="26"/>
      <c r="DR53" s="26"/>
      <c r="DS53" s="26"/>
      <c r="DT53" s="26"/>
      <c r="DU53" s="26"/>
      <c r="DV53" s="26"/>
      <c r="DW53" s="26"/>
      <c r="DX53" s="26"/>
      <c r="DY53" s="26"/>
      <c r="DZ53" s="26"/>
      <c r="EA53" s="26"/>
      <c r="EB53" s="26"/>
      <c r="EC53" s="26"/>
      <c r="ED53" s="26"/>
      <c r="EE53" s="26"/>
      <c r="EF53" s="26"/>
      <c r="EG53" s="26"/>
      <c r="EH53" s="26"/>
      <c r="EI53" s="26"/>
      <c r="EJ53" s="26"/>
      <c r="EK53" s="26"/>
      <c r="EL53" s="26"/>
      <c r="EM53" s="26"/>
      <c r="EN53" s="26"/>
      <c r="EO53" s="26"/>
      <c r="EP53" s="26"/>
      <c r="EQ53" s="26"/>
      <c r="ER53" s="26"/>
      <c r="ES53" s="26"/>
      <c r="ET53" s="26"/>
      <c r="EU53" s="26"/>
      <c r="EV53" s="26"/>
      <c r="EW53" s="26"/>
      <c r="EX53" s="26"/>
      <c r="EY53" s="26"/>
      <c r="EZ53" s="26"/>
      <c r="FA53" s="26"/>
      <c r="FB53" s="26"/>
      <c r="FC53" s="26"/>
      <c r="FD53" s="26"/>
      <c r="FE53" s="26"/>
      <c r="FF53" s="26"/>
      <c r="FG53" s="26"/>
      <c r="FH53" s="26"/>
      <c r="FI53" s="26"/>
      <c r="FJ53" s="26"/>
      <c r="FK53" s="26"/>
      <c r="FL53" s="26"/>
      <c r="FM53" s="26"/>
      <c r="FN53" s="26"/>
      <c r="FO53" s="26"/>
      <c r="FP53" s="26"/>
      <c r="FQ53" s="26"/>
      <c r="FR53" s="26"/>
      <c r="FS53" s="26"/>
      <c r="FT53" s="26"/>
      <c r="FU53" s="26"/>
      <c r="FV53" s="26"/>
      <c r="FW53" s="26"/>
      <c r="FX53" s="26"/>
      <c r="FY53" s="26"/>
      <c r="FZ53" s="26"/>
      <c r="GA53" s="26"/>
      <c r="GB53" s="26"/>
      <c r="GC53" s="26"/>
      <c r="GD53" s="26"/>
      <c r="GE53" s="26"/>
      <c r="GF53" s="26"/>
      <c r="GG53" s="26"/>
      <c r="GH53" s="26"/>
      <c r="GI53" s="26"/>
      <c r="GJ53" s="26"/>
      <c r="GK53" s="26"/>
      <c r="GL53" s="26"/>
      <c r="GM53" s="26"/>
      <c r="GN53" s="26"/>
      <c r="GO53" s="26"/>
      <c r="GP53" s="26"/>
      <c r="GQ53" s="26"/>
      <c r="GR53" s="26"/>
      <c r="GS53" s="26"/>
      <c r="GT53" s="26"/>
      <c r="GU53" s="26"/>
      <c r="GV53" s="26"/>
      <c r="GW53" s="26"/>
      <c r="GX53" s="26"/>
      <c r="GY53" s="26"/>
      <c r="GZ53" s="26"/>
      <c r="HA53" s="26"/>
      <c r="HB53" s="26"/>
      <c r="HC53" s="26"/>
      <c r="HD53" s="26"/>
      <c r="HE53" s="26"/>
      <c r="HF53" s="26"/>
      <c r="HG53" s="26"/>
      <c r="HH53" s="26"/>
      <c r="HI53" s="26"/>
      <c r="HJ53" s="26"/>
      <c r="HK53" s="26"/>
      <c r="HL53" s="26"/>
      <c r="HM53" s="26"/>
      <c r="HN53" s="26"/>
      <c r="HO53" s="26"/>
      <c r="HP53" s="26"/>
      <c r="HQ53" s="26"/>
      <c r="HR53" s="26"/>
      <c r="HS53" s="26"/>
      <c r="HT53" s="26"/>
      <c r="HU53" s="26"/>
      <c r="HV53" s="26"/>
      <c r="HW53" s="26"/>
      <c r="HX53" s="26"/>
      <c r="HY53" s="26"/>
      <c r="HZ53" s="26"/>
      <c r="IA53" s="26"/>
      <c r="IB53" s="26"/>
      <c r="IC53" s="26"/>
      <c r="ID53" s="26"/>
      <c r="IE53" s="26"/>
      <c r="IF53" s="26"/>
      <c r="IG53" s="26"/>
      <c r="IH53" s="26"/>
      <c r="II53" s="26"/>
      <c r="IJ53" s="26"/>
      <c r="IK53" s="26"/>
      <c r="IL53" s="26"/>
      <c r="IM53" s="26"/>
      <c r="IN53" s="26"/>
      <c r="IO53" s="26"/>
      <c r="IP53" s="26"/>
      <c r="IQ53" s="26"/>
      <c r="IR53" s="26"/>
      <c r="IS53" s="26"/>
      <c r="IT53" s="26"/>
    </row>
    <row r="54" spans="1:254" s="47" customFormat="1" x14ac:dyDescent="0.3">
      <c r="A54" s="30" t="s">
        <v>99</v>
      </c>
      <c r="B54" s="31" t="s">
        <v>52</v>
      </c>
      <c r="C54" s="49"/>
      <c r="D54" s="50"/>
      <c r="E54" s="49"/>
      <c r="F54" s="56">
        <v>1000</v>
      </c>
      <c r="G54" s="51"/>
      <c r="H54" s="51"/>
      <c r="I54" s="51"/>
      <c r="J54" s="51"/>
      <c r="K54" s="51"/>
      <c r="L54" s="51"/>
      <c r="M54" s="51"/>
      <c r="N54" s="51"/>
      <c r="O54" s="26"/>
      <c r="P54" s="26"/>
      <c r="Q54" s="26"/>
      <c r="R54" s="26"/>
      <c r="S54" s="26"/>
      <c r="T54" s="26"/>
      <c r="U54" s="26"/>
      <c r="V54" s="26"/>
      <c r="W54" s="26"/>
      <c r="X54" s="26"/>
      <c r="Y54" s="26"/>
      <c r="Z54" s="26"/>
      <c r="AA54" s="26"/>
      <c r="AB54" s="26"/>
      <c r="AC54" s="26"/>
      <c r="AD54" s="26"/>
      <c r="AE54" s="26"/>
      <c r="AF54" s="26"/>
      <c r="AG54" s="26"/>
      <c r="AH54" s="26"/>
      <c r="AI54" s="26"/>
      <c r="AJ54" s="26"/>
      <c r="AK54" s="26"/>
      <c r="AL54" s="26"/>
      <c r="AM54" s="26"/>
      <c r="AN54" s="26"/>
      <c r="AO54" s="26"/>
      <c r="AP54" s="26"/>
      <c r="AQ54" s="26"/>
      <c r="AR54" s="26"/>
      <c r="AS54" s="26"/>
      <c r="AT54" s="26"/>
      <c r="AU54" s="26"/>
      <c r="AV54" s="26"/>
      <c r="AW54" s="26"/>
      <c r="AX54" s="26"/>
      <c r="AY54" s="26"/>
      <c r="AZ54" s="26"/>
      <c r="BA54" s="26"/>
      <c r="BB54" s="26"/>
      <c r="BC54" s="26"/>
      <c r="BD54" s="26"/>
      <c r="BE54" s="26"/>
      <c r="BF54" s="26"/>
      <c r="BG54" s="26"/>
      <c r="BH54" s="26"/>
      <c r="BI54" s="26"/>
      <c r="BJ54" s="26"/>
      <c r="BK54" s="26"/>
      <c r="BL54" s="26"/>
      <c r="BM54" s="26"/>
      <c r="BN54" s="26"/>
      <c r="BO54" s="26"/>
      <c r="BP54" s="26"/>
      <c r="BQ54" s="26"/>
      <c r="BR54" s="26"/>
      <c r="BS54" s="26"/>
      <c r="BT54" s="26"/>
      <c r="BU54" s="26"/>
      <c r="BV54" s="26"/>
      <c r="BW54" s="26"/>
      <c r="BX54" s="26"/>
      <c r="BY54" s="26"/>
      <c r="BZ54" s="26"/>
      <c r="CA54" s="26"/>
      <c r="CB54" s="26"/>
      <c r="CC54" s="26"/>
      <c r="CD54" s="26"/>
      <c r="CE54" s="26"/>
      <c r="CF54" s="26"/>
      <c r="CG54" s="26"/>
      <c r="CH54" s="26"/>
      <c r="CI54" s="26"/>
      <c r="CJ54" s="26"/>
      <c r="CK54" s="26"/>
      <c r="CL54" s="26"/>
      <c r="CM54" s="26"/>
      <c r="CN54" s="26"/>
      <c r="CO54" s="26"/>
      <c r="CP54" s="26"/>
      <c r="CQ54" s="26"/>
      <c r="CR54" s="26"/>
      <c r="CS54" s="26"/>
      <c r="CT54" s="26"/>
      <c r="CU54" s="26"/>
      <c r="CV54" s="26"/>
      <c r="CW54" s="26"/>
      <c r="CX54" s="26"/>
      <c r="CY54" s="26"/>
      <c r="CZ54" s="26"/>
      <c r="DA54" s="26"/>
      <c r="DB54" s="26"/>
      <c r="DC54" s="26"/>
      <c r="DD54" s="26"/>
      <c r="DE54" s="26"/>
      <c r="DF54" s="26"/>
      <c r="DG54" s="26"/>
      <c r="DH54" s="26"/>
      <c r="DI54" s="26"/>
      <c r="DJ54" s="26"/>
      <c r="DK54" s="26"/>
      <c r="DL54" s="26"/>
      <c r="DM54" s="26"/>
      <c r="DN54" s="26"/>
      <c r="DO54" s="26"/>
      <c r="DP54" s="26"/>
      <c r="DQ54" s="26"/>
      <c r="DR54" s="26"/>
      <c r="DS54" s="26"/>
      <c r="DT54" s="26"/>
      <c r="DU54" s="26"/>
      <c r="DV54" s="26"/>
      <c r="DW54" s="26"/>
      <c r="DX54" s="26"/>
      <c r="DY54" s="26"/>
      <c r="DZ54" s="26"/>
      <c r="EA54" s="26"/>
      <c r="EB54" s="26"/>
      <c r="EC54" s="26"/>
      <c r="ED54" s="26"/>
      <c r="EE54" s="26"/>
      <c r="EF54" s="26"/>
      <c r="EG54" s="26"/>
      <c r="EH54" s="26"/>
      <c r="EI54" s="26"/>
      <c r="EJ54" s="26"/>
      <c r="EK54" s="26"/>
      <c r="EL54" s="26"/>
      <c r="EM54" s="26"/>
      <c r="EN54" s="26"/>
      <c r="EO54" s="26"/>
      <c r="EP54" s="26"/>
      <c r="EQ54" s="26"/>
      <c r="ER54" s="26"/>
      <c r="ES54" s="26"/>
      <c r="ET54" s="26"/>
      <c r="EU54" s="26"/>
      <c r="EV54" s="26"/>
      <c r="EW54" s="26"/>
      <c r="EX54" s="26"/>
      <c r="EY54" s="26"/>
      <c r="EZ54" s="26"/>
      <c r="FA54" s="26"/>
      <c r="FB54" s="26"/>
      <c r="FC54" s="26"/>
      <c r="FD54" s="26"/>
      <c r="FE54" s="26"/>
      <c r="FF54" s="26"/>
      <c r="FG54" s="26"/>
      <c r="FH54" s="26"/>
      <c r="FI54" s="26"/>
      <c r="FJ54" s="26"/>
      <c r="FK54" s="26"/>
      <c r="FL54" s="26"/>
      <c r="FM54" s="26"/>
      <c r="FN54" s="26"/>
      <c r="FO54" s="26"/>
      <c r="FP54" s="26"/>
      <c r="FQ54" s="26"/>
      <c r="FR54" s="26"/>
      <c r="FS54" s="26"/>
      <c r="FT54" s="26"/>
      <c r="FU54" s="26"/>
      <c r="FV54" s="26"/>
      <c r="FW54" s="26"/>
      <c r="FX54" s="26"/>
      <c r="FY54" s="26"/>
      <c r="FZ54" s="26"/>
      <c r="GA54" s="26"/>
      <c r="GB54" s="26"/>
      <c r="GC54" s="26"/>
      <c r="GD54" s="26"/>
      <c r="GE54" s="26"/>
      <c r="GF54" s="26"/>
      <c r="GG54" s="26"/>
      <c r="GH54" s="26"/>
      <c r="GI54" s="26"/>
      <c r="GJ54" s="26"/>
      <c r="GK54" s="26"/>
      <c r="GL54" s="26"/>
      <c r="GM54" s="26"/>
      <c r="GN54" s="26"/>
      <c r="GO54" s="26"/>
      <c r="GP54" s="26"/>
      <c r="GQ54" s="26"/>
      <c r="GR54" s="26"/>
      <c r="GS54" s="26"/>
      <c r="GT54" s="26"/>
      <c r="GU54" s="26"/>
      <c r="GV54" s="26"/>
      <c r="GW54" s="26"/>
      <c r="GX54" s="26"/>
      <c r="GY54" s="26"/>
      <c r="GZ54" s="26"/>
      <c r="HA54" s="26"/>
      <c r="HB54" s="26"/>
      <c r="HC54" s="26"/>
      <c r="HD54" s="26"/>
      <c r="HE54" s="26"/>
      <c r="HF54" s="26"/>
      <c r="HG54" s="26"/>
      <c r="HH54" s="26"/>
      <c r="HI54" s="26"/>
      <c r="HJ54" s="26"/>
      <c r="HK54" s="26"/>
      <c r="HL54" s="26"/>
      <c r="HM54" s="26"/>
      <c r="HN54" s="26"/>
      <c r="HO54" s="26"/>
      <c r="HP54" s="26"/>
      <c r="HQ54" s="26"/>
      <c r="HR54" s="26"/>
      <c r="HS54" s="26"/>
      <c r="HT54" s="26"/>
      <c r="HU54" s="26"/>
      <c r="HV54" s="26"/>
      <c r="HW54" s="26"/>
      <c r="HX54" s="26"/>
      <c r="HY54" s="26"/>
      <c r="HZ54" s="26"/>
      <c r="IA54" s="26"/>
      <c r="IB54" s="26"/>
      <c r="IC54" s="26"/>
      <c r="ID54" s="26"/>
      <c r="IE54" s="26"/>
      <c r="IF54" s="26"/>
      <c r="IG54" s="26"/>
      <c r="IH54" s="26"/>
      <c r="II54" s="26"/>
      <c r="IJ54" s="26"/>
      <c r="IK54" s="26"/>
      <c r="IL54" s="26"/>
      <c r="IM54" s="26"/>
      <c r="IN54" s="26"/>
      <c r="IO54" s="26"/>
      <c r="IP54" s="26"/>
      <c r="IQ54" s="26"/>
      <c r="IR54" s="26"/>
      <c r="IS54" s="26"/>
      <c r="IT54" s="26"/>
    </row>
    <row r="55" spans="1:254" s="47" customFormat="1" x14ac:dyDescent="0.3">
      <c r="A55" s="30" t="s">
        <v>100</v>
      </c>
      <c r="B55" s="31" t="s">
        <v>75</v>
      </c>
      <c r="C55" s="49"/>
      <c r="D55" s="50"/>
      <c r="E55" s="49"/>
      <c r="F55" s="56">
        <v>800</v>
      </c>
      <c r="G55" s="51"/>
      <c r="H55" s="51"/>
      <c r="I55" s="51"/>
      <c r="J55" s="51"/>
      <c r="K55" s="51"/>
      <c r="L55" s="51"/>
      <c r="M55" s="51"/>
      <c r="N55" s="51"/>
      <c r="O55" s="26"/>
      <c r="P55" s="26"/>
      <c r="Q55" s="26"/>
      <c r="R55" s="26"/>
      <c r="S55" s="26"/>
      <c r="T55" s="26"/>
      <c r="U55" s="26"/>
      <c r="V55" s="26"/>
      <c r="W55" s="26"/>
      <c r="X55" s="26"/>
      <c r="Y55" s="26"/>
      <c r="Z55" s="26"/>
      <c r="AA55" s="26"/>
      <c r="AB55" s="26"/>
      <c r="AC55" s="26"/>
      <c r="AD55" s="26"/>
      <c r="AE55" s="26"/>
      <c r="AF55" s="26"/>
      <c r="AG55" s="26"/>
      <c r="AH55" s="26"/>
      <c r="AI55" s="26"/>
      <c r="AJ55" s="26"/>
      <c r="AK55" s="26"/>
      <c r="AL55" s="26"/>
      <c r="AM55" s="26"/>
      <c r="AN55" s="26"/>
      <c r="AO55" s="26"/>
      <c r="AP55" s="26"/>
      <c r="AQ55" s="26"/>
      <c r="AR55" s="26"/>
      <c r="AS55" s="26"/>
      <c r="AT55" s="26"/>
      <c r="AU55" s="26"/>
      <c r="AV55" s="26"/>
      <c r="AW55" s="26"/>
      <c r="AX55" s="26"/>
      <c r="AY55" s="26"/>
      <c r="AZ55" s="26"/>
      <c r="BA55" s="26"/>
      <c r="BB55" s="26"/>
      <c r="BC55" s="26"/>
      <c r="BD55" s="26"/>
      <c r="BE55" s="26"/>
      <c r="BF55" s="26"/>
      <c r="BG55" s="26"/>
      <c r="BH55" s="26"/>
      <c r="BI55" s="26"/>
      <c r="BJ55" s="26"/>
      <c r="BK55" s="26"/>
      <c r="BL55" s="26"/>
      <c r="BM55" s="26"/>
      <c r="BN55" s="26"/>
      <c r="BO55" s="26"/>
      <c r="BP55" s="26"/>
      <c r="BQ55" s="26"/>
      <c r="BR55" s="26"/>
      <c r="BS55" s="26"/>
      <c r="BT55" s="26"/>
      <c r="BU55" s="26"/>
      <c r="BV55" s="26"/>
      <c r="BW55" s="26"/>
      <c r="BX55" s="26"/>
      <c r="BY55" s="26"/>
      <c r="BZ55" s="26"/>
      <c r="CA55" s="26"/>
      <c r="CB55" s="26"/>
      <c r="CC55" s="26"/>
      <c r="CD55" s="26"/>
      <c r="CE55" s="26"/>
      <c r="CF55" s="26"/>
      <c r="CG55" s="26"/>
      <c r="CH55" s="26"/>
      <c r="CI55" s="26"/>
      <c r="CJ55" s="26"/>
      <c r="CK55" s="26"/>
      <c r="CL55" s="26"/>
      <c r="CM55" s="26"/>
      <c r="CN55" s="26"/>
      <c r="CO55" s="26"/>
      <c r="CP55" s="26"/>
      <c r="CQ55" s="26"/>
      <c r="CR55" s="26"/>
      <c r="CS55" s="26"/>
      <c r="CT55" s="26"/>
      <c r="CU55" s="26"/>
      <c r="CV55" s="26"/>
      <c r="CW55" s="26"/>
      <c r="CX55" s="26"/>
      <c r="CY55" s="26"/>
      <c r="CZ55" s="26"/>
      <c r="DA55" s="26"/>
      <c r="DB55" s="26"/>
      <c r="DC55" s="26"/>
      <c r="DD55" s="26"/>
      <c r="DE55" s="26"/>
      <c r="DF55" s="26"/>
      <c r="DG55" s="26"/>
      <c r="DH55" s="26"/>
      <c r="DI55" s="26"/>
      <c r="DJ55" s="26"/>
      <c r="DK55" s="26"/>
      <c r="DL55" s="26"/>
      <c r="DM55" s="26"/>
      <c r="DN55" s="26"/>
      <c r="DO55" s="26"/>
      <c r="DP55" s="26"/>
      <c r="DQ55" s="26"/>
      <c r="DR55" s="26"/>
      <c r="DS55" s="26"/>
      <c r="DT55" s="26"/>
      <c r="DU55" s="26"/>
      <c r="DV55" s="26"/>
      <c r="DW55" s="26"/>
      <c r="DX55" s="26"/>
      <c r="DY55" s="26"/>
      <c r="DZ55" s="26"/>
      <c r="EA55" s="26"/>
      <c r="EB55" s="26"/>
      <c r="EC55" s="26"/>
      <c r="ED55" s="26"/>
      <c r="EE55" s="26"/>
      <c r="EF55" s="26"/>
      <c r="EG55" s="26"/>
      <c r="EH55" s="26"/>
      <c r="EI55" s="26"/>
      <c r="EJ55" s="26"/>
      <c r="EK55" s="26"/>
      <c r="EL55" s="26"/>
      <c r="EM55" s="26"/>
      <c r="EN55" s="26"/>
      <c r="EO55" s="26"/>
      <c r="EP55" s="26"/>
      <c r="EQ55" s="26"/>
      <c r="ER55" s="26"/>
      <c r="ES55" s="26"/>
      <c r="ET55" s="26"/>
      <c r="EU55" s="26"/>
      <c r="EV55" s="26"/>
      <c r="EW55" s="26"/>
      <c r="EX55" s="26"/>
      <c r="EY55" s="26"/>
      <c r="EZ55" s="26"/>
      <c r="FA55" s="26"/>
      <c r="FB55" s="26"/>
      <c r="FC55" s="26"/>
      <c r="FD55" s="26"/>
      <c r="FE55" s="26"/>
      <c r="FF55" s="26"/>
      <c r="FG55" s="26"/>
      <c r="FH55" s="26"/>
      <c r="FI55" s="26"/>
      <c r="FJ55" s="26"/>
      <c r="FK55" s="26"/>
      <c r="FL55" s="26"/>
      <c r="FM55" s="26"/>
      <c r="FN55" s="26"/>
      <c r="FO55" s="26"/>
      <c r="FP55" s="26"/>
      <c r="FQ55" s="26"/>
      <c r="FR55" s="26"/>
      <c r="FS55" s="26"/>
      <c r="FT55" s="26"/>
      <c r="FU55" s="26"/>
      <c r="FV55" s="26"/>
      <c r="FW55" s="26"/>
      <c r="FX55" s="26"/>
      <c r="FY55" s="26"/>
      <c r="FZ55" s="26"/>
      <c r="GA55" s="26"/>
      <c r="GB55" s="26"/>
      <c r="GC55" s="26"/>
      <c r="GD55" s="26"/>
      <c r="GE55" s="26"/>
      <c r="GF55" s="26"/>
      <c r="GG55" s="26"/>
      <c r="GH55" s="26"/>
      <c r="GI55" s="26"/>
      <c r="GJ55" s="26"/>
      <c r="GK55" s="26"/>
      <c r="GL55" s="26"/>
      <c r="GM55" s="26"/>
      <c r="GN55" s="26"/>
      <c r="GO55" s="26"/>
      <c r="GP55" s="26"/>
      <c r="GQ55" s="26"/>
      <c r="GR55" s="26"/>
      <c r="GS55" s="26"/>
      <c r="GT55" s="26"/>
      <c r="GU55" s="26"/>
      <c r="GV55" s="26"/>
      <c r="GW55" s="26"/>
      <c r="GX55" s="26"/>
      <c r="GY55" s="26"/>
      <c r="GZ55" s="26"/>
      <c r="HA55" s="26"/>
      <c r="HB55" s="26"/>
      <c r="HC55" s="26"/>
      <c r="HD55" s="26"/>
      <c r="HE55" s="26"/>
      <c r="HF55" s="26"/>
      <c r="HG55" s="26"/>
      <c r="HH55" s="26"/>
      <c r="HI55" s="26"/>
      <c r="HJ55" s="26"/>
      <c r="HK55" s="26"/>
      <c r="HL55" s="26"/>
      <c r="HM55" s="26"/>
      <c r="HN55" s="26"/>
      <c r="HO55" s="26"/>
      <c r="HP55" s="26"/>
      <c r="HQ55" s="26"/>
      <c r="HR55" s="26"/>
      <c r="HS55" s="26"/>
      <c r="HT55" s="26"/>
      <c r="HU55" s="26"/>
      <c r="HV55" s="26"/>
      <c r="HW55" s="26"/>
      <c r="HX55" s="26"/>
      <c r="HY55" s="26"/>
      <c r="HZ55" s="26"/>
      <c r="IA55" s="26"/>
      <c r="IB55" s="26"/>
      <c r="IC55" s="26"/>
      <c r="ID55" s="26"/>
      <c r="IE55" s="26"/>
      <c r="IF55" s="26"/>
      <c r="IG55" s="26"/>
      <c r="IH55" s="26"/>
      <c r="II55" s="26"/>
      <c r="IJ55" s="26"/>
      <c r="IK55" s="26"/>
      <c r="IL55" s="26"/>
      <c r="IM55" s="26"/>
      <c r="IN55" s="26"/>
      <c r="IO55" s="26"/>
      <c r="IP55" s="26"/>
      <c r="IQ55" s="26"/>
      <c r="IR55" s="26"/>
      <c r="IS55" s="26"/>
      <c r="IT55" s="26"/>
    </row>
    <row r="56" spans="1:254" s="47" customFormat="1" x14ac:dyDescent="0.3">
      <c r="A56" s="30" t="s">
        <v>101</v>
      </c>
      <c r="B56" s="31" t="s">
        <v>76</v>
      </c>
      <c r="C56" s="49"/>
      <c r="D56" s="50"/>
      <c r="E56" s="49"/>
      <c r="F56" s="56">
        <v>700</v>
      </c>
      <c r="G56" s="51"/>
      <c r="H56" s="51"/>
      <c r="I56" s="51"/>
      <c r="J56" s="51"/>
      <c r="K56" s="51"/>
      <c r="L56" s="51"/>
      <c r="M56" s="51"/>
      <c r="N56" s="51"/>
      <c r="O56" s="26"/>
      <c r="P56" s="26"/>
      <c r="Q56" s="26"/>
      <c r="R56" s="26"/>
      <c r="S56" s="26"/>
      <c r="T56" s="26"/>
      <c r="U56" s="26"/>
      <c r="V56" s="26"/>
      <c r="W56" s="26"/>
      <c r="X56" s="26"/>
      <c r="Y56" s="26"/>
      <c r="Z56" s="26"/>
      <c r="AA56" s="26"/>
      <c r="AB56" s="26"/>
      <c r="AC56" s="26"/>
      <c r="AD56" s="26"/>
      <c r="AE56" s="26"/>
      <c r="AF56" s="26"/>
      <c r="AG56" s="26"/>
      <c r="AH56" s="26"/>
      <c r="AI56" s="26"/>
      <c r="AJ56" s="26"/>
      <c r="AK56" s="26"/>
      <c r="AL56" s="26"/>
      <c r="AM56" s="26"/>
      <c r="AN56" s="26"/>
      <c r="AO56" s="26"/>
      <c r="AP56" s="26"/>
      <c r="AQ56" s="26"/>
      <c r="AR56" s="26"/>
      <c r="AS56" s="26"/>
      <c r="AT56" s="26"/>
      <c r="AU56" s="26"/>
      <c r="AV56" s="26"/>
      <c r="AW56" s="26"/>
      <c r="AX56" s="26"/>
      <c r="AY56" s="26"/>
      <c r="AZ56" s="26"/>
      <c r="BA56" s="26"/>
      <c r="BB56" s="26"/>
      <c r="BC56" s="26"/>
      <c r="BD56" s="26"/>
      <c r="BE56" s="26"/>
      <c r="BF56" s="26"/>
      <c r="BG56" s="26"/>
      <c r="BH56" s="26"/>
      <c r="BI56" s="26"/>
      <c r="BJ56" s="26"/>
      <c r="BK56" s="26"/>
      <c r="BL56" s="26"/>
      <c r="BM56" s="26"/>
      <c r="BN56" s="26"/>
      <c r="BO56" s="26"/>
      <c r="BP56" s="26"/>
      <c r="BQ56" s="26"/>
      <c r="BR56" s="26"/>
      <c r="BS56" s="26"/>
      <c r="BT56" s="26"/>
      <c r="BU56" s="26"/>
      <c r="BV56" s="26"/>
      <c r="BW56" s="26"/>
      <c r="BX56" s="26"/>
      <c r="BY56" s="26"/>
      <c r="BZ56" s="26"/>
      <c r="CA56" s="26"/>
      <c r="CB56" s="26"/>
      <c r="CC56" s="26"/>
      <c r="CD56" s="26"/>
      <c r="CE56" s="26"/>
      <c r="CF56" s="26"/>
      <c r="CG56" s="26"/>
      <c r="CH56" s="26"/>
      <c r="CI56" s="26"/>
      <c r="CJ56" s="26"/>
      <c r="CK56" s="26"/>
      <c r="CL56" s="26"/>
      <c r="CM56" s="26"/>
      <c r="CN56" s="26"/>
      <c r="CO56" s="26"/>
      <c r="CP56" s="26"/>
      <c r="CQ56" s="26"/>
      <c r="CR56" s="26"/>
      <c r="CS56" s="26"/>
      <c r="CT56" s="26"/>
      <c r="CU56" s="26"/>
      <c r="CV56" s="26"/>
      <c r="CW56" s="26"/>
      <c r="CX56" s="26"/>
      <c r="CY56" s="26"/>
      <c r="CZ56" s="26"/>
      <c r="DA56" s="26"/>
      <c r="DB56" s="26"/>
      <c r="DC56" s="26"/>
      <c r="DD56" s="26"/>
      <c r="DE56" s="26"/>
      <c r="DF56" s="26"/>
      <c r="DG56" s="26"/>
      <c r="DH56" s="26"/>
      <c r="DI56" s="26"/>
      <c r="DJ56" s="26"/>
      <c r="DK56" s="26"/>
      <c r="DL56" s="26"/>
      <c r="DM56" s="26"/>
      <c r="DN56" s="26"/>
      <c r="DO56" s="26"/>
      <c r="DP56" s="26"/>
      <c r="DQ56" s="26"/>
      <c r="DR56" s="26"/>
      <c r="DS56" s="26"/>
      <c r="DT56" s="26"/>
      <c r="DU56" s="26"/>
      <c r="DV56" s="26"/>
      <c r="DW56" s="26"/>
      <c r="DX56" s="26"/>
      <c r="DY56" s="26"/>
      <c r="DZ56" s="26"/>
      <c r="EA56" s="26"/>
      <c r="EB56" s="26"/>
      <c r="EC56" s="26"/>
      <c r="ED56" s="26"/>
      <c r="EE56" s="26"/>
      <c r="EF56" s="26"/>
      <c r="EG56" s="26"/>
      <c r="EH56" s="26"/>
      <c r="EI56" s="26"/>
      <c r="EJ56" s="26"/>
      <c r="EK56" s="26"/>
      <c r="EL56" s="26"/>
      <c r="EM56" s="26"/>
      <c r="EN56" s="26"/>
      <c r="EO56" s="26"/>
      <c r="EP56" s="26"/>
      <c r="EQ56" s="26"/>
      <c r="ER56" s="26"/>
      <c r="ES56" s="26"/>
      <c r="ET56" s="26"/>
      <c r="EU56" s="26"/>
      <c r="EV56" s="26"/>
      <c r="EW56" s="26"/>
      <c r="EX56" s="26"/>
      <c r="EY56" s="26"/>
      <c r="EZ56" s="26"/>
      <c r="FA56" s="26"/>
      <c r="FB56" s="26"/>
      <c r="FC56" s="26"/>
      <c r="FD56" s="26"/>
      <c r="FE56" s="26"/>
      <c r="FF56" s="26"/>
      <c r="FG56" s="26"/>
      <c r="FH56" s="26"/>
      <c r="FI56" s="26"/>
      <c r="FJ56" s="26"/>
      <c r="FK56" s="26"/>
      <c r="FL56" s="26"/>
      <c r="FM56" s="26"/>
      <c r="FN56" s="26"/>
      <c r="FO56" s="26"/>
      <c r="FP56" s="26"/>
      <c r="FQ56" s="26"/>
      <c r="FR56" s="26"/>
      <c r="FS56" s="26"/>
      <c r="FT56" s="26"/>
      <c r="FU56" s="26"/>
      <c r="FV56" s="26"/>
      <c r="FW56" s="26"/>
      <c r="FX56" s="26"/>
      <c r="FY56" s="26"/>
      <c r="FZ56" s="26"/>
      <c r="GA56" s="26"/>
      <c r="GB56" s="26"/>
      <c r="GC56" s="26"/>
      <c r="GD56" s="26"/>
      <c r="GE56" s="26"/>
      <c r="GF56" s="26"/>
      <c r="GG56" s="26"/>
      <c r="GH56" s="26"/>
      <c r="GI56" s="26"/>
      <c r="GJ56" s="26"/>
      <c r="GK56" s="26"/>
      <c r="GL56" s="26"/>
      <c r="GM56" s="26"/>
      <c r="GN56" s="26"/>
      <c r="GO56" s="26"/>
      <c r="GP56" s="26"/>
      <c r="GQ56" s="26"/>
      <c r="GR56" s="26"/>
      <c r="GS56" s="26"/>
      <c r="GT56" s="26"/>
      <c r="GU56" s="26"/>
      <c r="GV56" s="26"/>
      <c r="GW56" s="26"/>
      <c r="GX56" s="26"/>
      <c r="GY56" s="26"/>
      <c r="GZ56" s="26"/>
      <c r="HA56" s="26"/>
      <c r="HB56" s="26"/>
      <c r="HC56" s="26"/>
      <c r="HD56" s="26"/>
      <c r="HE56" s="26"/>
      <c r="HF56" s="26"/>
      <c r="HG56" s="26"/>
      <c r="HH56" s="26"/>
      <c r="HI56" s="26"/>
      <c r="HJ56" s="26"/>
      <c r="HK56" s="26"/>
      <c r="HL56" s="26"/>
      <c r="HM56" s="26"/>
      <c r="HN56" s="26"/>
      <c r="HO56" s="26"/>
      <c r="HP56" s="26"/>
      <c r="HQ56" s="26"/>
      <c r="HR56" s="26"/>
      <c r="HS56" s="26"/>
      <c r="HT56" s="26"/>
      <c r="HU56" s="26"/>
      <c r="HV56" s="26"/>
      <c r="HW56" s="26"/>
      <c r="HX56" s="26"/>
      <c r="HY56" s="26"/>
      <c r="HZ56" s="26"/>
      <c r="IA56" s="26"/>
      <c r="IB56" s="26"/>
      <c r="IC56" s="26"/>
      <c r="ID56" s="26"/>
      <c r="IE56" s="26"/>
      <c r="IF56" s="26"/>
      <c r="IG56" s="26"/>
      <c r="IH56" s="26"/>
      <c r="II56" s="26"/>
      <c r="IJ56" s="26"/>
      <c r="IK56" s="26"/>
      <c r="IL56" s="26"/>
      <c r="IM56" s="26"/>
      <c r="IN56" s="26"/>
      <c r="IO56" s="26"/>
      <c r="IP56" s="26"/>
      <c r="IQ56" s="26"/>
      <c r="IR56" s="26"/>
      <c r="IS56" s="26"/>
      <c r="IT56" s="26"/>
    </row>
    <row r="57" spans="1:254" s="47" customFormat="1" x14ac:dyDescent="0.3">
      <c r="A57" s="30" t="s">
        <v>102</v>
      </c>
      <c r="B57" s="31" t="s">
        <v>77</v>
      </c>
      <c r="C57" s="49"/>
      <c r="D57" s="50"/>
      <c r="E57" s="49"/>
      <c r="F57" s="56">
        <v>700</v>
      </c>
      <c r="G57" s="51"/>
      <c r="H57" s="51"/>
      <c r="I57" s="51"/>
      <c r="J57" s="51"/>
      <c r="K57" s="51"/>
      <c r="L57" s="51"/>
      <c r="M57" s="51"/>
      <c r="N57" s="51"/>
      <c r="O57" s="26"/>
      <c r="P57" s="26"/>
      <c r="Q57" s="26"/>
      <c r="R57" s="26"/>
      <c r="S57" s="26"/>
      <c r="T57" s="26"/>
      <c r="U57" s="26"/>
      <c r="V57" s="26"/>
      <c r="W57" s="26"/>
      <c r="X57" s="26"/>
      <c r="Y57" s="26"/>
      <c r="Z57" s="26"/>
      <c r="AA57" s="26"/>
      <c r="AB57" s="26"/>
      <c r="AC57" s="26"/>
      <c r="AD57" s="26"/>
      <c r="AE57" s="26"/>
      <c r="AF57" s="26"/>
      <c r="AG57" s="26"/>
      <c r="AH57" s="26"/>
      <c r="AI57" s="26"/>
      <c r="AJ57" s="26"/>
      <c r="AK57" s="26"/>
      <c r="AL57" s="26"/>
      <c r="AM57" s="26"/>
      <c r="AN57" s="26"/>
      <c r="AO57" s="26"/>
      <c r="AP57" s="26"/>
      <c r="AQ57" s="26"/>
      <c r="AR57" s="26"/>
      <c r="AS57" s="26"/>
      <c r="AT57" s="26"/>
      <c r="AU57" s="26"/>
      <c r="AV57" s="26"/>
      <c r="AW57" s="26"/>
      <c r="AX57" s="26"/>
      <c r="AY57" s="26"/>
      <c r="AZ57" s="26"/>
      <c r="BA57" s="26"/>
      <c r="BB57" s="26"/>
      <c r="BC57" s="26"/>
      <c r="BD57" s="26"/>
      <c r="BE57" s="26"/>
      <c r="BF57" s="26"/>
      <c r="BG57" s="26"/>
      <c r="BH57" s="26"/>
      <c r="BI57" s="26"/>
      <c r="BJ57" s="26"/>
      <c r="BK57" s="26"/>
      <c r="BL57" s="26"/>
      <c r="BM57" s="26"/>
      <c r="BN57" s="26"/>
      <c r="BO57" s="26"/>
      <c r="BP57" s="26"/>
      <c r="BQ57" s="26"/>
      <c r="BR57" s="26"/>
      <c r="BS57" s="26"/>
      <c r="BT57" s="26"/>
      <c r="BU57" s="26"/>
      <c r="BV57" s="26"/>
      <c r="BW57" s="26"/>
      <c r="BX57" s="26"/>
      <c r="BY57" s="26"/>
      <c r="BZ57" s="26"/>
      <c r="CA57" s="26"/>
      <c r="CB57" s="26"/>
      <c r="CC57" s="26"/>
      <c r="CD57" s="26"/>
      <c r="CE57" s="26"/>
      <c r="CF57" s="26"/>
      <c r="CG57" s="26"/>
      <c r="CH57" s="26"/>
      <c r="CI57" s="26"/>
      <c r="CJ57" s="26"/>
      <c r="CK57" s="26"/>
      <c r="CL57" s="26"/>
      <c r="CM57" s="26"/>
      <c r="CN57" s="26"/>
      <c r="CO57" s="26"/>
      <c r="CP57" s="26"/>
      <c r="CQ57" s="26"/>
      <c r="CR57" s="26"/>
      <c r="CS57" s="26"/>
      <c r="CT57" s="26"/>
      <c r="CU57" s="26"/>
      <c r="CV57" s="26"/>
      <c r="CW57" s="26"/>
      <c r="CX57" s="26"/>
      <c r="CY57" s="26"/>
      <c r="CZ57" s="26"/>
      <c r="DA57" s="26"/>
      <c r="DB57" s="26"/>
      <c r="DC57" s="26"/>
      <c r="DD57" s="26"/>
      <c r="DE57" s="26"/>
      <c r="DF57" s="26"/>
      <c r="DG57" s="26"/>
      <c r="DH57" s="26"/>
      <c r="DI57" s="26"/>
      <c r="DJ57" s="26"/>
      <c r="DK57" s="26"/>
      <c r="DL57" s="26"/>
      <c r="DM57" s="26"/>
      <c r="DN57" s="26"/>
      <c r="DO57" s="26"/>
      <c r="DP57" s="26"/>
      <c r="DQ57" s="26"/>
      <c r="DR57" s="26"/>
      <c r="DS57" s="26"/>
      <c r="DT57" s="26"/>
      <c r="DU57" s="26"/>
      <c r="DV57" s="26"/>
      <c r="DW57" s="26"/>
      <c r="DX57" s="26"/>
      <c r="DY57" s="26"/>
      <c r="DZ57" s="26"/>
      <c r="EA57" s="26"/>
      <c r="EB57" s="26"/>
      <c r="EC57" s="26"/>
      <c r="ED57" s="26"/>
      <c r="EE57" s="26"/>
      <c r="EF57" s="26"/>
      <c r="EG57" s="26"/>
      <c r="EH57" s="26"/>
      <c r="EI57" s="26"/>
      <c r="EJ57" s="26"/>
      <c r="EK57" s="26"/>
      <c r="EL57" s="26"/>
      <c r="EM57" s="26"/>
      <c r="EN57" s="26"/>
      <c r="EO57" s="26"/>
      <c r="EP57" s="26"/>
      <c r="EQ57" s="26"/>
      <c r="ER57" s="26"/>
      <c r="ES57" s="26"/>
      <c r="ET57" s="26"/>
      <c r="EU57" s="26"/>
      <c r="EV57" s="26"/>
      <c r="EW57" s="26"/>
      <c r="EX57" s="26"/>
      <c r="EY57" s="26"/>
      <c r="EZ57" s="26"/>
      <c r="FA57" s="26"/>
      <c r="FB57" s="26"/>
      <c r="FC57" s="26"/>
      <c r="FD57" s="26"/>
      <c r="FE57" s="26"/>
      <c r="FF57" s="26"/>
      <c r="FG57" s="26"/>
      <c r="FH57" s="26"/>
      <c r="FI57" s="26"/>
      <c r="FJ57" s="26"/>
      <c r="FK57" s="26"/>
      <c r="FL57" s="26"/>
      <c r="FM57" s="26"/>
      <c r="FN57" s="26"/>
      <c r="FO57" s="26"/>
      <c r="FP57" s="26"/>
      <c r="FQ57" s="26"/>
      <c r="FR57" s="26"/>
      <c r="FS57" s="26"/>
      <c r="FT57" s="26"/>
      <c r="FU57" s="26"/>
      <c r="FV57" s="26"/>
      <c r="FW57" s="26"/>
      <c r="FX57" s="26"/>
      <c r="FY57" s="26"/>
      <c r="FZ57" s="26"/>
      <c r="GA57" s="26"/>
      <c r="GB57" s="26"/>
      <c r="GC57" s="26"/>
      <c r="GD57" s="26"/>
      <c r="GE57" s="26"/>
      <c r="GF57" s="26"/>
      <c r="GG57" s="26"/>
      <c r="GH57" s="26"/>
      <c r="GI57" s="26"/>
      <c r="GJ57" s="26"/>
      <c r="GK57" s="26"/>
      <c r="GL57" s="26"/>
      <c r="GM57" s="26"/>
      <c r="GN57" s="26"/>
      <c r="GO57" s="26"/>
      <c r="GP57" s="26"/>
      <c r="GQ57" s="26"/>
      <c r="GR57" s="26"/>
      <c r="GS57" s="26"/>
      <c r="GT57" s="26"/>
      <c r="GU57" s="26"/>
      <c r="GV57" s="26"/>
      <c r="GW57" s="26"/>
      <c r="GX57" s="26"/>
      <c r="GY57" s="26"/>
      <c r="GZ57" s="26"/>
      <c r="HA57" s="26"/>
      <c r="HB57" s="26"/>
      <c r="HC57" s="26"/>
      <c r="HD57" s="26"/>
      <c r="HE57" s="26"/>
      <c r="HF57" s="26"/>
      <c r="HG57" s="26"/>
      <c r="HH57" s="26"/>
      <c r="HI57" s="26"/>
      <c r="HJ57" s="26"/>
      <c r="HK57" s="26"/>
      <c r="HL57" s="26"/>
      <c r="HM57" s="26"/>
      <c r="HN57" s="26"/>
      <c r="HO57" s="26"/>
      <c r="HP57" s="26"/>
      <c r="HQ57" s="26"/>
      <c r="HR57" s="26"/>
      <c r="HS57" s="26"/>
      <c r="HT57" s="26"/>
      <c r="HU57" s="26"/>
      <c r="HV57" s="26"/>
      <c r="HW57" s="26"/>
      <c r="HX57" s="26"/>
      <c r="HY57" s="26"/>
      <c r="HZ57" s="26"/>
      <c r="IA57" s="26"/>
      <c r="IB57" s="26"/>
      <c r="IC57" s="26"/>
      <c r="ID57" s="26"/>
      <c r="IE57" s="26"/>
      <c r="IF57" s="26"/>
      <c r="IG57" s="26"/>
      <c r="IH57" s="26"/>
      <c r="II57" s="26"/>
      <c r="IJ57" s="26"/>
      <c r="IK57" s="26"/>
      <c r="IL57" s="26"/>
      <c r="IM57" s="26"/>
      <c r="IN57" s="26"/>
      <c r="IO57" s="26"/>
      <c r="IP57" s="26"/>
      <c r="IQ57" s="26"/>
      <c r="IR57" s="26"/>
      <c r="IS57" s="26"/>
      <c r="IT57" s="26"/>
    </row>
    <row r="58" spans="1:254" x14ac:dyDescent="0.3">
      <c r="A58" s="77" t="s">
        <v>79</v>
      </c>
      <c r="B58" s="78"/>
      <c r="C58" s="40"/>
      <c r="D58" s="41"/>
      <c r="E58" s="40"/>
      <c r="F58" s="40"/>
      <c r="G58" s="40"/>
      <c r="H58" s="40"/>
      <c r="I58" s="40"/>
      <c r="J58" s="40"/>
      <c r="K58" s="40"/>
      <c r="L58" s="40"/>
      <c r="M58" s="40"/>
      <c r="N58" s="40"/>
    </row>
    <row r="59" spans="1:254" x14ac:dyDescent="0.3">
      <c r="A59" s="42">
        <v>3.1</v>
      </c>
      <c r="B59" s="43" t="s">
        <v>104</v>
      </c>
      <c r="C59" s="44"/>
      <c r="D59" s="45"/>
      <c r="E59" s="44"/>
      <c r="F59" s="46"/>
      <c r="G59" s="57"/>
      <c r="H59" s="46"/>
      <c r="I59" s="46"/>
      <c r="J59" s="46"/>
      <c r="K59" s="46"/>
      <c r="L59" s="46"/>
      <c r="M59" s="46"/>
      <c r="N59" s="46"/>
    </row>
    <row r="60" spans="1:254" x14ac:dyDescent="0.3">
      <c r="A60" s="30" t="s">
        <v>105</v>
      </c>
      <c r="B60" s="31" t="s">
        <v>106</v>
      </c>
      <c r="C60" s="37"/>
      <c r="D60" s="38"/>
      <c r="E60" s="37"/>
      <c r="F60" s="39"/>
      <c r="G60" s="61">
        <v>6000</v>
      </c>
      <c r="H60" s="39"/>
      <c r="I60" s="39"/>
      <c r="J60" s="39"/>
      <c r="K60" s="39"/>
      <c r="L60" s="39"/>
      <c r="M60" s="39"/>
      <c r="N60" s="39"/>
    </row>
    <row r="61" spans="1:254" x14ac:dyDescent="0.3">
      <c r="A61" s="30" t="s">
        <v>107</v>
      </c>
      <c r="B61" s="31" t="s">
        <v>108</v>
      </c>
      <c r="C61" s="37"/>
      <c r="D61" s="38"/>
      <c r="E61" s="37"/>
      <c r="F61" s="39"/>
      <c r="G61" s="61">
        <v>6000</v>
      </c>
      <c r="H61" s="39"/>
      <c r="I61" s="39"/>
      <c r="J61" s="39"/>
      <c r="K61" s="39"/>
      <c r="L61" s="39"/>
      <c r="M61" s="39"/>
      <c r="N61" s="39"/>
    </row>
    <row r="62" spans="1:254" x14ac:dyDescent="0.3">
      <c r="A62" s="30" t="s">
        <v>109</v>
      </c>
      <c r="B62" s="31" t="s">
        <v>110</v>
      </c>
      <c r="C62" s="37"/>
      <c r="D62" s="38"/>
      <c r="E62" s="37"/>
      <c r="F62" s="39"/>
      <c r="G62" s="61">
        <v>6000</v>
      </c>
      <c r="H62" s="39"/>
      <c r="I62" s="39"/>
      <c r="J62" s="39"/>
      <c r="K62" s="39"/>
      <c r="L62" s="39"/>
      <c r="M62" s="39"/>
      <c r="N62" s="39"/>
    </row>
    <row r="63" spans="1:254" x14ac:dyDescent="0.3">
      <c r="A63" s="42">
        <v>3.2</v>
      </c>
      <c r="B63" s="43" t="s">
        <v>111</v>
      </c>
      <c r="C63" s="44"/>
      <c r="D63" s="45"/>
      <c r="E63" s="44"/>
      <c r="F63" s="46"/>
      <c r="G63" s="57"/>
      <c r="H63" s="46"/>
      <c r="I63" s="46"/>
      <c r="J63" s="46"/>
      <c r="K63" s="46"/>
      <c r="L63" s="46"/>
      <c r="M63" s="46"/>
      <c r="N63" s="46"/>
    </row>
    <row r="64" spans="1:254" x14ac:dyDescent="0.3">
      <c r="A64" s="30" t="s">
        <v>112</v>
      </c>
      <c r="B64" s="31" t="s">
        <v>113</v>
      </c>
      <c r="C64" s="37"/>
      <c r="D64" s="38"/>
      <c r="E64" s="37"/>
      <c r="F64" s="39"/>
      <c r="G64" s="61">
        <v>7000</v>
      </c>
      <c r="H64" s="39"/>
      <c r="I64" s="39"/>
      <c r="J64" s="39"/>
      <c r="K64" s="39"/>
      <c r="L64" s="39"/>
      <c r="M64" s="39"/>
      <c r="N64" s="39"/>
    </row>
    <row r="65" spans="1:14" x14ac:dyDescent="0.3">
      <c r="A65" s="30" t="s">
        <v>114</v>
      </c>
      <c r="B65" s="31" t="s">
        <v>115</v>
      </c>
      <c r="C65" s="37"/>
      <c r="D65" s="38"/>
      <c r="E65" s="37"/>
      <c r="F65" s="39"/>
      <c r="G65" s="61">
        <v>8000</v>
      </c>
      <c r="H65" s="39"/>
      <c r="I65" s="39"/>
      <c r="J65" s="39"/>
      <c r="K65" s="39"/>
      <c r="L65" s="39"/>
      <c r="M65" s="39"/>
      <c r="N65" s="39"/>
    </row>
    <row r="66" spans="1:14" x14ac:dyDescent="0.3">
      <c r="A66" s="30" t="s">
        <v>116</v>
      </c>
      <c r="B66" s="31" t="s">
        <v>117</v>
      </c>
      <c r="C66" s="37"/>
      <c r="D66" s="38"/>
      <c r="E66" s="37"/>
      <c r="F66" s="39"/>
      <c r="G66" s="39"/>
      <c r="H66" s="61">
        <v>7000</v>
      </c>
      <c r="I66" s="39"/>
      <c r="J66" s="39"/>
      <c r="K66" s="39"/>
      <c r="L66" s="39"/>
      <c r="M66" s="39"/>
      <c r="N66" s="39"/>
    </row>
    <row r="67" spans="1:14" x14ac:dyDescent="0.3">
      <c r="A67" s="42">
        <v>3.3</v>
      </c>
      <c r="B67" s="43" t="s">
        <v>118</v>
      </c>
      <c r="C67" s="44"/>
      <c r="D67" s="45"/>
      <c r="E67" s="44"/>
      <c r="F67" s="46"/>
      <c r="G67" s="46"/>
      <c r="H67" s="57"/>
      <c r="I67" s="46"/>
      <c r="J67" s="46"/>
      <c r="K67" s="46"/>
      <c r="L67" s="46"/>
      <c r="M67" s="46"/>
      <c r="N67" s="46"/>
    </row>
    <row r="68" spans="1:14" x14ac:dyDescent="0.3">
      <c r="A68" s="30" t="s">
        <v>119</v>
      </c>
      <c r="B68" s="31" t="s">
        <v>120</v>
      </c>
      <c r="C68" s="37"/>
      <c r="D68" s="38"/>
      <c r="E68" s="37"/>
      <c r="F68" s="39"/>
      <c r="G68" s="39"/>
      <c r="H68" s="61">
        <v>6000</v>
      </c>
      <c r="I68" s="39"/>
      <c r="J68" s="39"/>
      <c r="K68" s="39"/>
      <c r="L68" s="39"/>
      <c r="M68" s="39"/>
      <c r="N68" s="39"/>
    </row>
    <row r="69" spans="1:14" x14ac:dyDescent="0.3">
      <c r="A69" s="30" t="s">
        <v>121</v>
      </c>
      <c r="B69" s="31" t="s">
        <v>122</v>
      </c>
      <c r="C69" s="37"/>
      <c r="D69" s="38"/>
      <c r="E69" s="37"/>
      <c r="F69" s="39"/>
      <c r="G69" s="39"/>
      <c r="H69" s="61">
        <v>7000</v>
      </c>
      <c r="I69" s="39"/>
      <c r="J69" s="39"/>
      <c r="K69" s="39"/>
      <c r="L69" s="39"/>
      <c r="M69" s="39"/>
      <c r="N69" s="39"/>
    </row>
    <row r="70" spans="1:14" x14ac:dyDescent="0.3">
      <c r="A70" s="30" t="s">
        <v>123</v>
      </c>
      <c r="B70" s="31" t="s">
        <v>124</v>
      </c>
      <c r="C70" s="37"/>
      <c r="D70" s="38"/>
      <c r="E70" s="37"/>
      <c r="F70" s="39"/>
      <c r="G70" s="39"/>
      <c r="H70" s="61">
        <v>5000</v>
      </c>
      <c r="I70" s="39"/>
      <c r="J70" s="39"/>
      <c r="K70" s="39"/>
      <c r="L70" s="39"/>
      <c r="M70" s="39"/>
      <c r="N70" s="39"/>
    </row>
    <row r="71" spans="1:14" x14ac:dyDescent="0.3">
      <c r="A71" s="42">
        <v>3.4</v>
      </c>
      <c r="B71" s="43" t="s">
        <v>125</v>
      </c>
      <c r="C71" s="44"/>
      <c r="D71" s="45"/>
      <c r="E71" s="44"/>
      <c r="F71" s="46"/>
      <c r="G71" s="46"/>
      <c r="H71" s="57"/>
      <c r="I71" s="46"/>
      <c r="J71" s="46"/>
      <c r="K71" s="46"/>
      <c r="L71" s="46"/>
      <c r="M71" s="46"/>
      <c r="N71" s="46"/>
    </row>
    <row r="72" spans="1:14" x14ac:dyDescent="0.3">
      <c r="A72" s="30" t="s">
        <v>126</v>
      </c>
      <c r="B72" s="31" t="s">
        <v>51</v>
      </c>
      <c r="C72" s="37"/>
      <c r="D72" s="38"/>
      <c r="E72" s="37"/>
      <c r="F72" s="39"/>
      <c r="G72" s="39"/>
      <c r="H72" s="61">
        <v>5000</v>
      </c>
      <c r="I72" s="39"/>
      <c r="J72" s="39"/>
      <c r="K72" s="39"/>
      <c r="L72" s="39"/>
      <c r="M72" s="39"/>
      <c r="N72" s="39"/>
    </row>
    <row r="73" spans="1:14" x14ac:dyDescent="0.3">
      <c r="A73" s="30" t="s">
        <v>127</v>
      </c>
      <c r="B73" s="31" t="s">
        <v>52</v>
      </c>
      <c r="C73" s="37"/>
      <c r="D73" s="38"/>
      <c r="E73" s="37"/>
      <c r="F73" s="39"/>
      <c r="G73" s="39"/>
      <c r="H73" s="61">
        <v>6000</v>
      </c>
      <c r="I73" s="39"/>
      <c r="J73" s="39"/>
      <c r="K73" s="39"/>
      <c r="L73" s="39"/>
      <c r="M73" s="39"/>
      <c r="N73" s="39"/>
    </row>
    <row r="74" spans="1:14" x14ac:dyDescent="0.3">
      <c r="A74" s="30" t="s">
        <v>128</v>
      </c>
      <c r="B74" s="31" t="s">
        <v>53</v>
      </c>
      <c r="C74" s="37"/>
      <c r="D74" s="38"/>
      <c r="E74" s="37"/>
      <c r="F74" s="39"/>
      <c r="G74" s="39"/>
      <c r="H74" s="61">
        <v>6000</v>
      </c>
      <c r="I74" s="39"/>
      <c r="J74" s="39"/>
      <c r="K74" s="39"/>
      <c r="L74" s="39"/>
      <c r="M74" s="39"/>
      <c r="N74" s="39"/>
    </row>
    <row r="75" spans="1:14" x14ac:dyDescent="0.3">
      <c r="A75" s="77" t="s">
        <v>129</v>
      </c>
      <c r="B75" s="78"/>
      <c r="C75" s="58"/>
      <c r="D75" s="59"/>
      <c r="E75" s="58"/>
      <c r="F75" s="60"/>
      <c r="G75" s="60"/>
      <c r="H75" s="60"/>
      <c r="I75" s="60"/>
      <c r="J75" s="60"/>
      <c r="K75" s="60"/>
      <c r="L75" s="60"/>
      <c r="M75" s="60"/>
      <c r="N75" s="60"/>
    </row>
    <row r="76" spans="1:14" x14ac:dyDescent="0.3">
      <c r="A76" s="42">
        <v>4.0999999999999996</v>
      </c>
      <c r="B76" s="43" t="s">
        <v>130</v>
      </c>
      <c r="C76" s="44"/>
      <c r="D76" s="45"/>
      <c r="E76" s="44"/>
      <c r="F76" s="46"/>
      <c r="G76" s="46"/>
      <c r="H76" s="46"/>
      <c r="I76" s="57"/>
      <c r="J76" s="46"/>
      <c r="K76" s="46"/>
      <c r="L76" s="46"/>
      <c r="M76" s="46"/>
      <c r="N76" s="46"/>
    </row>
    <row r="77" spans="1:14" x14ac:dyDescent="0.3">
      <c r="A77" s="30" t="s">
        <v>131</v>
      </c>
      <c r="B77" s="31" t="s">
        <v>132</v>
      </c>
      <c r="C77" s="37"/>
      <c r="D77" s="38"/>
      <c r="E77" s="37"/>
      <c r="F77" s="39"/>
      <c r="G77" s="39"/>
      <c r="H77" s="39"/>
      <c r="I77" s="61">
        <v>7000</v>
      </c>
      <c r="J77" s="39"/>
      <c r="K77" s="39"/>
      <c r="L77" s="39"/>
      <c r="M77" s="39"/>
      <c r="N77" s="39"/>
    </row>
    <row r="78" spans="1:14" x14ac:dyDescent="0.3">
      <c r="A78" s="30" t="s">
        <v>133</v>
      </c>
      <c r="B78" s="31" t="s">
        <v>134</v>
      </c>
      <c r="C78" s="37"/>
      <c r="D78" s="38"/>
      <c r="E78" s="37"/>
      <c r="F78" s="39"/>
      <c r="G78" s="39"/>
      <c r="H78" s="39"/>
      <c r="I78" s="61">
        <v>7000</v>
      </c>
      <c r="J78" s="39"/>
      <c r="K78" s="39"/>
      <c r="L78" s="39"/>
      <c r="M78" s="39"/>
      <c r="N78" s="39"/>
    </row>
    <row r="79" spans="1:14" x14ac:dyDescent="0.3">
      <c r="A79" s="30" t="s">
        <v>135</v>
      </c>
      <c r="B79" s="31" t="s">
        <v>136</v>
      </c>
      <c r="C79" s="37"/>
      <c r="D79" s="38"/>
      <c r="E79" s="37"/>
      <c r="F79" s="39"/>
      <c r="G79" s="39"/>
      <c r="H79" s="39"/>
      <c r="I79" s="61">
        <v>6000</v>
      </c>
      <c r="J79" s="39"/>
      <c r="K79" s="39"/>
      <c r="L79" s="39"/>
      <c r="M79" s="39"/>
      <c r="N79" s="39"/>
    </row>
    <row r="80" spans="1:14" x14ac:dyDescent="0.3">
      <c r="A80" s="42">
        <v>4.2</v>
      </c>
      <c r="B80" s="43" t="s">
        <v>137</v>
      </c>
      <c r="C80" s="44"/>
      <c r="D80" s="45"/>
      <c r="E80" s="44"/>
      <c r="F80" s="46"/>
      <c r="G80" s="46"/>
      <c r="H80" s="46"/>
      <c r="I80" s="57"/>
      <c r="J80" s="46"/>
      <c r="K80" s="46"/>
      <c r="L80" s="46"/>
      <c r="M80" s="46"/>
      <c r="N80" s="46"/>
    </row>
    <row r="81" spans="1:14" x14ac:dyDescent="0.3">
      <c r="A81" s="30" t="s">
        <v>138</v>
      </c>
      <c r="B81" s="31" t="s">
        <v>139</v>
      </c>
      <c r="C81" s="37"/>
      <c r="D81" s="38"/>
      <c r="E81" s="37"/>
      <c r="F81" s="39"/>
      <c r="G81" s="39"/>
      <c r="H81" s="39"/>
      <c r="I81" s="61">
        <v>8000</v>
      </c>
      <c r="J81" s="39"/>
      <c r="K81" s="39"/>
      <c r="L81" s="39"/>
      <c r="M81" s="39"/>
      <c r="N81" s="39"/>
    </row>
    <row r="82" spans="1:14" x14ac:dyDescent="0.3">
      <c r="A82" s="30" t="s">
        <v>140</v>
      </c>
      <c r="B82" s="31" t="s">
        <v>141</v>
      </c>
      <c r="C82" s="37"/>
      <c r="D82" s="38"/>
      <c r="E82" s="37"/>
      <c r="F82" s="39"/>
      <c r="G82" s="39"/>
      <c r="H82" s="39"/>
      <c r="I82" s="61">
        <v>8000</v>
      </c>
      <c r="J82" s="39"/>
      <c r="K82" s="39"/>
      <c r="L82" s="39"/>
      <c r="M82" s="39"/>
      <c r="N82" s="39"/>
    </row>
    <row r="83" spans="1:14" x14ac:dyDescent="0.3">
      <c r="A83" s="30" t="s">
        <v>142</v>
      </c>
      <c r="B83" s="31" t="s">
        <v>143</v>
      </c>
      <c r="C83" s="37"/>
      <c r="D83" s="38"/>
      <c r="E83" s="37"/>
      <c r="F83" s="39"/>
      <c r="G83" s="39"/>
      <c r="H83" s="39"/>
      <c r="I83" s="39"/>
      <c r="J83" s="61">
        <v>7000</v>
      </c>
      <c r="K83" s="39"/>
      <c r="L83" s="39"/>
      <c r="M83" s="39"/>
      <c r="N83" s="39"/>
    </row>
    <row r="84" spans="1:14" x14ac:dyDescent="0.3">
      <c r="A84" s="42">
        <v>4.3</v>
      </c>
      <c r="B84" s="43" t="s">
        <v>144</v>
      </c>
      <c r="C84" s="44"/>
      <c r="D84" s="45"/>
      <c r="E84" s="44"/>
      <c r="F84" s="46"/>
      <c r="G84" s="46"/>
      <c r="H84" s="46"/>
      <c r="I84" s="46"/>
      <c r="J84" s="57"/>
      <c r="K84" s="46"/>
      <c r="L84" s="46"/>
      <c r="M84" s="46"/>
      <c r="N84" s="46"/>
    </row>
    <row r="85" spans="1:14" x14ac:dyDescent="0.3">
      <c r="A85" s="30" t="s">
        <v>145</v>
      </c>
      <c r="B85" s="31" t="s">
        <v>146</v>
      </c>
      <c r="C85" s="37"/>
      <c r="D85" s="38"/>
      <c r="E85" s="37"/>
      <c r="F85" s="39"/>
      <c r="G85" s="39"/>
      <c r="H85" s="39"/>
      <c r="I85" s="39"/>
      <c r="J85" s="61">
        <v>6000</v>
      </c>
      <c r="K85" s="39"/>
      <c r="L85" s="39"/>
      <c r="M85" s="39"/>
      <c r="N85" s="39"/>
    </row>
    <row r="86" spans="1:14" x14ac:dyDescent="0.3">
      <c r="A86" s="30" t="s">
        <v>147</v>
      </c>
      <c r="B86" s="31" t="s">
        <v>148</v>
      </c>
      <c r="C86" s="37"/>
      <c r="D86" s="38"/>
      <c r="E86" s="37"/>
      <c r="F86" s="39"/>
      <c r="G86" s="39"/>
      <c r="H86" s="39"/>
      <c r="I86" s="39"/>
      <c r="J86" s="61">
        <v>6000</v>
      </c>
      <c r="K86" s="39"/>
      <c r="L86" s="39"/>
      <c r="M86" s="39"/>
      <c r="N86" s="39"/>
    </row>
    <row r="87" spans="1:14" x14ac:dyDescent="0.3">
      <c r="A87" s="30" t="s">
        <v>149</v>
      </c>
      <c r="B87" s="31" t="s">
        <v>150</v>
      </c>
      <c r="C87" s="37"/>
      <c r="D87" s="38"/>
      <c r="E87" s="37"/>
      <c r="F87" s="39"/>
      <c r="G87" s="39"/>
      <c r="H87" s="39"/>
      <c r="I87" s="39"/>
      <c r="J87" s="61">
        <v>5000</v>
      </c>
      <c r="K87" s="39"/>
      <c r="L87" s="39"/>
      <c r="M87" s="39"/>
      <c r="N87" s="39"/>
    </row>
    <row r="88" spans="1:14" x14ac:dyDescent="0.3">
      <c r="A88" s="42">
        <v>4.4000000000000004</v>
      </c>
      <c r="B88" s="43" t="s">
        <v>151</v>
      </c>
      <c r="C88" s="44"/>
      <c r="D88" s="45"/>
      <c r="E88" s="44"/>
      <c r="F88" s="46"/>
      <c r="G88" s="46"/>
      <c r="H88" s="46"/>
      <c r="I88" s="46"/>
      <c r="J88" s="57"/>
      <c r="K88" s="46"/>
      <c r="L88" s="46"/>
      <c r="M88" s="46"/>
      <c r="N88" s="46"/>
    </row>
    <row r="89" spans="1:14" x14ac:dyDescent="0.3">
      <c r="A89" s="30" t="s">
        <v>152</v>
      </c>
      <c r="B89" s="31" t="s">
        <v>153</v>
      </c>
      <c r="C89" s="37"/>
      <c r="D89" s="38"/>
      <c r="E89" s="37"/>
      <c r="F89" s="39"/>
      <c r="G89" s="39"/>
      <c r="H89" s="39"/>
      <c r="I89" s="39"/>
      <c r="J89" s="61">
        <v>4000</v>
      </c>
      <c r="K89" s="39"/>
      <c r="L89" s="39"/>
      <c r="M89" s="39"/>
      <c r="N89" s="39"/>
    </row>
    <row r="90" spans="1:14" x14ac:dyDescent="0.3">
      <c r="A90" s="30" t="s">
        <v>154</v>
      </c>
      <c r="B90" s="31" t="s">
        <v>155</v>
      </c>
      <c r="C90" s="37"/>
      <c r="D90" s="38"/>
      <c r="E90" s="37"/>
      <c r="F90" s="39"/>
      <c r="G90" s="39"/>
      <c r="H90" s="39"/>
      <c r="I90" s="39"/>
      <c r="J90" s="61">
        <v>4000</v>
      </c>
      <c r="K90" s="39"/>
      <c r="L90" s="39"/>
      <c r="M90" s="39"/>
      <c r="N90" s="39"/>
    </row>
    <row r="91" spans="1:14" x14ac:dyDescent="0.3">
      <c r="A91" s="30" t="s">
        <v>156</v>
      </c>
      <c r="B91" s="31" t="s">
        <v>76</v>
      </c>
      <c r="C91" s="37"/>
      <c r="D91" s="38"/>
      <c r="E91" s="37"/>
      <c r="F91" s="39"/>
      <c r="G91" s="39"/>
      <c r="H91" s="39"/>
      <c r="I91" s="39"/>
      <c r="J91" s="61">
        <v>3000</v>
      </c>
      <c r="K91" s="39"/>
      <c r="L91" s="39"/>
      <c r="M91" s="39"/>
      <c r="N91" s="39"/>
    </row>
    <row r="92" spans="1:14" x14ac:dyDescent="0.3">
      <c r="A92" s="30" t="s">
        <v>157</v>
      </c>
      <c r="B92" s="31" t="s">
        <v>158</v>
      </c>
      <c r="C92" s="37"/>
      <c r="D92" s="38"/>
      <c r="E92" s="37"/>
      <c r="F92" s="39"/>
      <c r="G92" s="39"/>
      <c r="H92" s="39"/>
      <c r="I92" s="39"/>
      <c r="J92" s="61">
        <v>3000</v>
      </c>
      <c r="K92" s="39"/>
      <c r="L92" s="39"/>
      <c r="M92" s="39"/>
      <c r="N92" s="39"/>
    </row>
    <row r="93" spans="1:14" x14ac:dyDescent="0.3">
      <c r="A93" s="30" t="s">
        <v>159</v>
      </c>
      <c r="B93" s="31" t="s">
        <v>160</v>
      </c>
      <c r="C93" s="37"/>
      <c r="D93" s="38"/>
      <c r="E93" s="37"/>
      <c r="F93" s="39"/>
      <c r="G93" s="39"/>
      <c r="H93" s="39"/>
      <c r="I93" s="39"/>
      <c r="J93" s="61">
        <v>1000</v>
      </c>
      <c r="K93" s="39"/>
      <c r="L93" s="39"/>
      <c r="M93" s="39"/>
      <c r="N93" s="39"/>
    </row>
    <row r="94" spans="1:14" x14ac:dyDescent="0.3">
      <c r="A94" s="77" t="s">
        <v>161</v>
      </c>
      <c r="B94" s="78"/>
      <c r="C94" s="58"/>
      <c r="D94" s="59"/>
      <c r="E94" s="58"/>
      <c r="F94" s="60"/>
      <c r="G94" s="60"/>
      <c r="H94" s="60"/>
      <c r="I94" s="60"/>
      <c r="J94" s="60"/>
      <c r="K94" s="60"/>
      <c r="L94" s="60"/>
      <c r="M94" s="60"/>
      <c r="N94" s="60"/>
    </row>
    <row r="95" spans="1:14" x14ac:dyDescent="0.3">
      <c r="A95" s="42">
        <v>5.0999999999999996</v>
      </c>
      <c r="B95" s="43" t="s">
        <v>162</v>
      </c>
      <c r="C95" s="44"/>
      <c r="D95" s="45"/>
      <c r="E95" s="44"/>
      <c r="F95" s="46"/>
      <c r="G95" s="46"/>
      <c r="H95" s="46"/>
      <c r="I95" s="46"/>
      <c r="J95" s="46"/>
      <c r="K95" s="57"/>
      <c r="L95" s="46"/>
      <c r="M95" s="46"/>
      <c r="N95" s="46"/>
    </row>
    <row r="96" spans="1:14" x14ac:dyDescent="0.3">
      <c r="A96" s="30" t="s">
        <v>163</v>
      </c>
      <c r="B96" s="31" t="s">
        <v>164</v>
      </c>
      <c r="C96" s="37"/>
      <c r="D96" s="38"/>
      <c r="E96" s="37"/>
      <c r="F96" s="39"/>
      <c r="G96" s="39"/>
      <c r="H96" s="39"/>
      <c r="I96" s="39"/>
      <c r="J96" s="39"/>
      <c r="K96" s="61">
        <v>4000</v>
      </c>
      <c r="L96" s="39"/>
      <c r="M96" s="39"/>
      <c r="N96" s="39"/>
    </row>
    <row r="97" spans="1:14" x14ac:dyDescent="0.3">
      <c r="A97" s="30" t="s">
        <v>165</v>
      </c>
      <c r="B97" s="31" t="s">
        <v>166</v>
      </c>
      <c r="C97" s="37"/>
      <c r="D97" s="38"/>
      <c r="E97" s="37"/>
      <c r="F97" s="39"/>
      <c r="G97" s="39"/>
      <c r="H97" s="39"/>
      <c r="I97" s="39"/>
      <c r="J97" s="39"/>
      <c r="K97" s="61">
        <v>4000</v>
      </c>
      <c r="L97" s="39"/>
      <c r="M97" s="39"/>
      <c r="N97" s="39"/>
    </row>
    <row r="98" spans="1:14" x14ac:dyDescent="0.3">
      <c r="A98" s="30" t="s">
        <v>167</v>
      </c>
      <c r="B98" s="31" t="s">
        <v>168</v>
      </c>
      <c r="C98" s="37"/>
      <c r="D98" s="38"/>
      <c r="E98" s="37"/>
      <c r="F98" s="39"/>
      <c r="G98" s="39"/>
      <c r="H98" s="39"/>
      <c r="I98" s="39"/>
      <c r="J98" s="39"/>
      <c r="K98" s="61">
        <v>4000</v>
      </c>
      <c r="L98" s="39"/>
      <c r="M98" s="39"/>
      <c r="N98" s="39"/>
    </row>
    <row r="99" spans="1:14" x14ac:dyDescent="0.3">
      <c r="A99" s="42">
        <v>5.2</v>
      </c>
      <c r="B99" s="43" t="s">
        <v>169</v>
      </c>
      <c r="C99" s="44"/>
      <c r="D99" s="45"/>
      <c r="E99" s="44"/>
      <c r="F99" s="46"/>
      <c r="G99" s="46"/>
      <c r="H99" s="46"/>
      <c r="I99" s="46"/>
      <c r="J99" s="46"/>
      <c r="K99" s="57"/>
      <c r="L99" s="46"/>
      <c r="M99" s="46"/>
      <c r="N99" s="46"/>
    </row>
    <row r="100" spans="1:14" x14ac:dyDescent="0.3">
      <c r="A100" s="30" t="s">
        <v>170</v>
      </c>
      <c r="B100" s="31" t="s">
        <v>171</v>
      </c>
      <c r="C100" s="37"/>
      <c r="D100" s="38"/>
      <c r="E100" s="37"/>
      <c r="F100" s="39"/>
      <c r="G100" s="39"/>
      <c r="H100" s="39"/>
      <c r="I100" s="39"/>
      <c r="J100" s="39"/>
      <c r="K100" s="61">
        <v>4000</v>
      </c>
      <c r="L100" s="39"/>
      <c r="M100" s="39"/>
      <c r="N100" s="39"/>
    </row>
    <row r="101" spans="1:14" x14ac:dyDescent="0.3">
      <c r="A101" s="30" t="s">
        <v>172</v>
      </c>
      <c r="B101" s="31" t="s">
        <v>173</v>
      </c>
      <c r="C101" s="37"/>
      <c r="D101" s="38"/>
      <c r="E101" s="37"/>
      <c r="F101" s="39"/>
      <c r="G101" s="39"/>
      <c r="H101" s="39"/>
      <c r="I101" s="39"/>
      <c r="J101" s="39"/>
      <c r="K101" s="61">
        <v>4000</v>
      </c>
      <c r="L101" s="39"/>
      <c r="M101" s="39"/>
      <c r="N101" s="39"/>
    </row>
    <row r="102" spans="1:14" x14ac:dyDescent="0.3">
      <c r="A102" s="30" t="s">
        <v>174</v>
      </c>
      <c r="B102" s="31" t="s">
        <v>175</v>
      </c>
      <c r="C102" s="37"/>
      <c r="D102" s="38"/>
      <c r="E102" s="37"/>
      <c r="F102" s="39"/>
      <c r="G102" s="39"/>
      <c r="H102" s="39"/>
      <c r="I102" s="39"/>
      <c r="J102" s="39"/>
      <c r="K102" s="39"/>
      <c r="L102" s="61">
        <v>3000</v>
      </c>
      <c r="M102" s="39"/>
      <c r="N102" s="39"/>
    </row>
    <row r="103" spans="1:14" x14ac:dyDescent="0.3">
      <c r="A103" s="42">
        <v>5.3</v>
      </c>
      <c r="B103" s="43" t="s">
        <v>176</v>
      </c>
      <c r="C103" s="44"/>
      <c r="D103" s="45"/>
      <c r="E103" s="44"/>
      <c r="F103" s="46"/>
      <c r="G103" s="46"/>
      <c r="H103" s="46"/>
      <c r="I103" s="46"/>
      <c r="J103" s="46"/>
      <c r="K103" s="46"/>
      <c r="L103" s="57"/>
      <c r="M103" s="46"/>
      <c r="N103" s="46"/>
    </row>
    <row r="104" spans="1:14" x14ac:dyDescent="0.3">
      <c r="A104" s="30" t="s">
        <v>177</v>
      </c>
      <c r="B104" s="31" t="s">
        <v>178</v>
      </c>
      <c r="C104" s="37"/>
      <c r="D104" s="38"/>
      <c r="E104" s="37"/>
      <c r="F104" s="39"/>
      <c r="G104" s="39"/>
      <c r="H104" s="39"/>
      <c r="I104" s="39"/>
      <c r="J104" s="39"/>
      <c r="K104" s="39"/>
      <c r="L104" s="61">
        <v>3500</v>
      </c>
      <c r="M104" s="39"/>
      <c r="N104" s="39"/>
    </row>
    <row r="105" spans="1:14" x14ac:dyDescent="0.3">
      <c r="A105" s="30" t="s">
        <v>179</v>
      </c>
      <c r="B105" s="31" t="s">
        <v>180</v>
      </c>
      <c r="C105" s="37"/>
      <c r="D105" s="38"/>
      <c r="E105" s="37"/>
      <c r="F105" s="39"/>
      <c r="G105" s="39"/>
      <c r="H105" s="39"/>
      <c r="I105" s="39"/>
      <c r="J105" s="39"/>
      <c r="K105" s="39"/>
      <c r="L105" s="61">
        <v>3500</v>
      </c>
      <c r="M105" s="39"/>
      <c r="N105" s="39"/>
    </row>
    <row r="106" spans="1:14" x14ac:dyDescent="0.3">
      <c r="A106" s="30" t="s">
        <v>181</v>
      </c>
      <c r="B106" s="31" t="s">
        <v>182</v>
      </c>
      <c r="C106" s="37"/>
      <c r="D106" s="38"/>
      <c r="E106" s="37"/>
      <c r="F106" s="39"/>
      <c r="G106" s="39"/>
      <c r="H106" s="39"/>
      <c r="I106" s="39"/>
      <c r="J106" s="39"/>
      <c r="K106" s="39"/>
      <c r="L106" s="61">
        <v>3000</v>
      </c>
      <c r="M106" s="39"/>
      <c r="N106" s="39"/>
    </row>
    <row r="107" spans="1:14" x14ac:dyDescent="0.3">
      <c r="A107" s="42">
        <v>5.4</v>
      </c>
      <c r="B107" s="43" t="s">
        <v>183</v>
      </c>
      <c r="C107" s="44"/>
      <c r="D107" s="45"/>
      <c r="E107" s="44"/>
      <c r="F107" s="46"/>
      <c r="G107" s="46"/>
      <c r="H107" s="46"/>
      <c r="I107" s="46"/>
      <c r="J107" s="46"/>
      <c r="K107" s="46"/>
      <c r="L107" s="57"/>
      <c r="M107" s="46"/>
      <c r="N107" s="46"/>
    </row>
    <row r="108" spans="1:14" x14ac:dyDescent="0.3">
      <c r="A108" s="30" t="s">
        <v>184</v>
      </c>
      <c r="B108" s="31" t="s">
        <v>185</v>
      </c>
      <c r="C108" s="37"/>
      <c r="D108" s="38"/>
      <c r="E108" s="37"/>
      <c r="F108" s="39"/>
      <c r="G108" s="39"/>
      <c r="H108" s="39"/>
      <c r="I108" s="39"/>
      <c r="J108" s="39"/>
      <c r="K108" s="39"/>
      <c r="L108" s="61">
        <v>3000</v>
      </c>
      <c r="M108" s="39"/>
      <c r="N108" s="39"/>
    </row>
    <row r="109" spans="1:14" x14ac:dyDescent="0.3">
      <c r="A109" s="30" t="s">
        <v>186</v>
      </c>
      <c r="B109" s="31" t="s">
        <v>187</v>
      </c>
      <c r="C109" s="37"/>
      <c r="D109" s="38"/>
      <c r="E109" s="37"/>
      <c r="F109" s="39"/>
      <c r="G109" s="39"/>
      <c r="H109" s="39"/>
      <c r="I109" s="39"/>
      <c r="J109" s="39"/>
      <c r="K109" s="39"/>
      <c r="L109" s="61">
        <v>3000</v>
      </c>
      <c r="M109" s="39"/>
      <c r="N109" s="39"/>
    </row>
    <row r="110" spans="1:14" x14ac:dyDescent="0.3">
      <c r="A110" s="30" t="s">
        <v>188</v>
      </c>
      <c r="B110" s="31" t="s">
        <v>189</v>
      </c>
      <c r="C110" s="37"/>
      <c r="D110" s="38"/>
      <c r="E110" s="37"/>
      <c r="F110" s="39"/>
      <c r="G110" s="39"/>
      <c r="H110" s="39"/>
      <c r="I110" s="39"/>
      <c r="J110" s="39"/>
      <c r="K110" s="39"/>
      <c r="L110" s="61">
        <v>2000</v>
      </c>
      <c r="M110" s="39"/>
      <c r="N110" s="39"/>
    </row>
    <row r="111" spans="1:14" x14ac:dyDescent="0.3">
      <c r="A111" s="42">
        <v>5.5</v>
      </c>
      <c r="B111" s="43" t="s">
        <v>190</v>
      </c>
      <c r="C111" s="44"/>
      <c r="D111" s="45"/>
      <c r="E111" s="44"/>
      <c r="F111" s="46"/>
      <c r="G111" s="46"/>
      <c r="H111" s="46"/>
      <c r="I111" s="46"/>
      <c r="J111" s="46"/>
      <c r="K111" s="46"/>
      <c r="L111" s="57"/>
      <c r="M111" s="46"/>
      <c r="N111" s="46"/>
    </row>
    <row r="112" spans="1:14" x14ac:dyDescent="0.3">
      <c r="A112" s="30" t="s">
        <v>191</v>
      </c>
      <c r="B112" s="31" t="s">
        <v>192</v>
      </c>
      <c r="C112" s="37"/>
      <c r="D112" s="38"/>
      <c r="E112" s="37"/>
      <c r="F112" s="39"/>
      <c r="G112" s="39"/>
      <c r="H112" s="39"/>
      <c r="I112" s="39"/>
      <c r="J112" s="39"/>
      <c r="K112" s="39"/>
      <c r="L112" s="61">
        <v>1000</v>
      </c>
      <c r="M112" s="39"/>
      <c r="N112" s="39"/>
    </row>
    <row r="113" spans="1:14" x14ac:dyDescent="0.3">
      <c r="A113" s="30" t="s">
        <v>193</v>
      </c>
      <c r="B113" s="31" t="s">
        <v>155</v>
      </c>
      <c r="C113" s="37"/>
      <c r="D113" s="38"/>
      <c r="E113" s="37"/>
      <c r="F113" s="39"/>
      <c r="G113" s="39"/>
      <c r="H113" s="39"/>
      <c r="I113" s="39"/>
      <c r="J113" s="39"/>
      <c r="K113" s="39"/>
      <c r="L113" s="61">
        <v>1000</v>
      </c>
      <c r="M113" s="39"/>
      <c r="N113" s="39"/>
    </row>
    <row r="114" spans="1:14" x14ac:dyDescent="0.3">
      <c r="A114" s="30" t="s">
        <v>194</v>
      </c>
      <c r="B114" s="31" t="s">
        <v>76</v>
      </c>
      <c r="C114" s="37"/>
      <c r="D114" s="38"/>
      <c r="E114" s="37"/>
      <c r="F114" s="39"/>
      <c r="G114" s="39"/>
      <c r="H114" s="39"/>
      <c r="I114" s="39"/>
      <c r="J114" s="39"/>
      <c r="K114" s="39"/>
      <c r="L114" s="61">
        <v>800</v>
      </c>
      <c r="M114" s="39"/>
      <c r="N114" s="39"/>
    </row>
    <row r="115" spans="1:14" x14ac:dyDescent="0.3">
      <c r="A115" s="30" t="s">
        <v>195</v>
      </c>
      <c r="B115" s="31" t="s">
        <v>196</v>
      </c>
      <c r="C115" s="37"/>
      <c r="D115" s="38"/>
      <c r="E115" s="37"/>
      <c r="F115" s="39"/>
      <c r="G115" s="39"/>
      <c r="H115" s="39"/>
      <c r="I115" s="39"/>
      <c r="J115" s="39"/>
      <c r="K115" s="39"/>
      <c r="L115" s="61">
        <v>800</v>
      </c>
      <c r="M115" s="39"/>
      <c r="N115" s="39"/>
    </row>
    <row r="116" spans="1:14" x14ac:dyDescent="0.3">
      <c r="A116" s="30" t="s">
        <v>197</v>
      </c>
      <c r="B116" s="31" t="s">
        <v>198</v>
      </c>
      <c r="C116" s="37"/>
      <c r="D116" s="38"/>
      <c r="E116" s="37"/>
      <c r="F116" s="39"/>
      <c r="G116" s="39"/>
      <c r="H116" s="39"/>
      <c r="I116" s="39"/>
      <c r="J116" s="39"/>
      <c r="K116" s="39"/>
      <c r="L116" s="61">
        <v>400</v>
      </c>
      <c r="M116" s="39"/>
      <c r="N116" s="39"/>
    </row>
    <row r="117" spans="1:14" x14ac:dyDescent="0.3">
      <c r="A117" s="77" t="s">
        <v>199</v>
      </c>
      <c r="B117" s="78"/>
      <c r="C117" s="58"/>
      <c r="D117" s="59"/>
      <c r="E117" s="58"/>
      <c r="F117" s="60"/>
      <c r="G117" s="60"/>
      <c r="H117" s="60"/>
      <c r="I117" s="60"/>
      <c r="J117" s="60"/>
      <c r="K117" s="60"/>
      <c r="L117" s="60"/>
      <c r="M117" s="60"/>
      <c r="N117" s="60"/>
    </row>
    <row r="118" spans="1:14" x14ac:dyDescent="0.3">
      <c r="A118" s="42">
        <v>6.1</v>
      </c>
      <c r="B118" s="43" t="s">
        <v>200</v>
      </c>
      <c r="C118" s="44"/>
      <c r="D118" s="45"/>
      <c r="E118" s="44"/>
      <c r="F118" s="46"/>
      <c r="G118" s="46"/>
      <c r="H118" s="46"/>
      <c r="I118" s="46"/>
      <c r="J118" s="46"/>
      <c r="K118" s="46"/>
      <c r="L118" s="46"/>
      <c r="M118" s="57"/>
      <c r="N118" s="46"/>
    </row>
    <row r="119" spans="1:14" x14ac:dyDescent="0.3">
      <c r="A119" s="30" t="s">
        <v>201</v>
      </c>
      <c r="B119" s="31" t="s">
        <v>202</v>
      </c>
      <c r="C119" s="37"/>
      <c r="D119" s="38"/>
      <c r="E119" s="37"/>
      <c r="F119" s="39"/>
      <c r="G119" s="39"/>
      <c r="H119" s="39"/>
      <c r="I119" s="39"/>
      <c r="J119" s="39"/>
      <c r="K119" s="39"/>
      <c r="L119" s="39"/>
      <c r="M119" s="61">
        <v>3000</v>
      </c>
      <c r="N119" s="39"/>
    </row>
    <row r="120" spans="1:14" x14ac:dyDescent="0.3">
      <c r="A120" s="30" t="s">
        <v>203</v>
      </c>
      <c r="B120" s="31" t="s">
        <v>204</v>
      </c>
      <c r="C120" s="37"/>
      <c r="D120" s="38"/>
      <c r="E120" s="37"/>
      <c r="F120" s="39"/>
      <c r="G120" s="39"/>
      <c r="H120" s="39"/>
      <c r="I120" s="39"/>
      <c r="J120" s="39"/>
      <c r="K120" s="39"/>
      <c r="L120" s="39"/>
      <c r="M120" s="61">
        <v>3000</v>
      </c>
      <c r="N120" s="39"/>
    </row>
    <row r="121" spans="1:14" x14ac:dyDescent="0.3">
      <c r="A121" s="30" t="s">
        <v>205</v>
      </c>
      <c r="B121" s="31" t="s">
        <v>206</v>
      </c>
      <c r="C121" s="37"/>
      <c r="D121" s="38"/>
      <c r="E121" s="37"/>
      <c r="F121" s="39"/>
      <c r="G121" s="39"/>
      <c r="H121" s="39"/>
      <c r="I121" s="39"/>
      <c r="J121" s="39"/>
      <c r="K121" s="39"/>
      <c r="L121" s="39"/>
      <c r="M121" s="61">
        <v>2000</v>
      </c>
      <c r="N121" s="39"/>
    </row>
    <row r="122" spans="1:14" x14ac:dyDescent="0.3">
      <c r="A122" s="42">
        <v>6.2</v>
      </c>
      <c r="B122" s="43" t="s">
        <v>207</v>
      </c>
      <c r="C122" s="44"/>
      <c r="D122" s="45"/>
      <c r="E122" s="44"/>
      <c r="F122" s="46"/>
      <c r="G122" s="46"/>
      <c r="H122" s="46"/>
      <c r="I122" s="46"/>
      <c r="J122" s="46"/>
      <c r="K122" s="46"/>
      <c r="L122" s="46"/>
      <c r="M122" s="57"/>
      <c r="N122" s="46"/>
    </row>
    <row r="123" spans="1:14" x14ac:dyDescent="0.3">
      <c r="A123" s="30" t="s">
        <v>208</v>
      </c>
      <c r="B123" s="31" t="s">
        <v>209</v>
      </c>
      <c r="C123" s="37"/>
      <c r="D123" s="38"/>
      <c r="E123" s="37"/>
      <c r="F123" s="39"/>
      <c r="G123" s="39"/>
      <c r="H123" s="39"/>
      <c r="I123" s="39"/>
      <c r="J123" s="39"/>
      <c r="K123" s="39"/>
      <c r="L123" s="39"/>
      <c r="M123" s="61">
        <v>3000</v>
      </c>
      <c r="N123" s="39"/>
    </row>
    <row r="124" spans="1:14" x14ac:dyDescent="0.3">
      <c r="A124" s="30" t="s">
        <v>210</v>
      </c>
      <c r="B124" s="31" t="s">
        <v>211</v>
      </c>
      <c r="C124" s="37"/>
      <c r="D124" s="38"/>
      <c r="E124" s="37"/>
      <c r="F124" s="39"/>
      <c r="G124" s="39"/>
      <c r="H124" s="39"/>
      <c r="I124" s="39"/>
      <c r="J124" s="39"/>
      <c r="K124" s="39"/>
      <c r="L124" s="39"/>
      <c r="M124" s="39"/>
      <c r="N124" s="61">
        <v>2500</v>
      </c>
    </row>
    <row r="125" spans="1:14" x14ac:dyDescent="0.3">
      <c r="A125" s="30" t="s">
        <v>212</v>
      </c>
      <c r="B125" s="31" t="s">
        <v>213</v>
      </c>
      <c r="C125" s="37"/>
      <c r="D125" s="38"/>
      <c r="E125" s="37"/>
      <c r="F125" s="39"/>
      <c r="G125" s="39"/>
      <c r="H125" s="39"/>
      <c r="I125" s="39"/>
      <c r="J125" s="39"/>
      <c r="K125" s="39"/>
      <c r="L125" s="39"/>
      <c r="M125" s="39"/>
      <c r="N125" s="61">
        <v>1500</v>
      </c>
    </row>
    <row r="126" spans="1:14" x14ac:dyDescent="0.3">
      <c r="A126" s="42">
        <v>6.3</v>
      </c>
      <c r="B126" s="43" t="s">
        <v>214</v>
      </c>
      <c r="C126" s="44"/>
      <c r="D126" s="45"/>
      <c r="E126" s="44"/>
      <c r="F126" s="46"/>
      <c r="G126" s="46"/>
      <c r="H126" s="46"/>
      <c r="I126" s="46"/>
      <c r="J126" s="46"/>
      <c r="K126" s="46"/>
      <c r="L126" s="46"/>
      <c r="M126" s="46"/>
      <c r="N126" s="57"/>
    </row>
    <row r="127" spans="1:14" x14ac:dyDescent="0.3">
      <c r="A127" s="30" t="s">
        <v>215</v>
      </c>
      <c r="B127" s="31" t="s">
        <v>216</v>
      </c>
      <c r="C127" s="37"/>
      <c r="D127" s="38"/>
      <c r="E127" s="37"/>
      <c r="F127" s="39"/>
      <c r="G127" s="39"/>
      <c r="H127" s="39"/>
      <c r="I127" s="39"/>
      <c r="J127" s="39"/>
      <c r="K127" s="39"/>
      <c r="L127" s="39"/>
      <c r="M127" s="39"/>
      <c r="N127" s="61">
        <v>3000</v>
      </c>
    </row>
    <row r="128" spans="1:14" x14ac:dyDescent="0.3">
      <c r="A128" s="30" t="s">
        <v>217</v>
      </c>
      <c r="B128" s="31" t="s">
        <v>218</v>
      </c>
      <c r="C128" s="37"/>
      <c r="D128" s="38"/>
      <c r="E128" s="37"/>
      <c r="F128" s="39"/>
      <c r="G128" s="39"/>
      <c r="H128" s="39"/>
      <c r="I128" s="39"/>
      <c r="J128" s="39"/>
      <c r="K128" s="39"/>
      <c r="L128" s="39"/>
      <c r="M128" s="39"/>
      <c r="N128" s="61">
        <v>2000</v>
      </c>
    </row>
    <row r="129" spans="1:14" x14ac:dyDescent="0.3">
      <c r="A129" s="42">
        <v>6.4</v>
      </c>
      <c r="B129" s="43" t="s">
        <v>219</v>
      </c>
      <c r="C129" s="44"/>
      <c r="D129" s="45"/>
      <c r="E129" s="44"/>
      <c r="F129" s="46"/>
      <c r="G129" s="46"/>
      <c r="H129" s="46"/>
      <c r="I129" s="46"/>
      <c r="J129" s="46"/>
      <c r="K129" s="46"/>
      <c r="L129" s="46"/>
      <c r="M129" s="46"/>
      <c r="N129" s="57"/>
    </row>
    <row r="130" spans="1:14" x14ac:dyDescent="0.3">
      <c r="A130" s="30" t="s">
        <v>220</v>
      </c>
      <c r="B130" s="31" t="s">
        <v>221</v>
      </c>
      <c r="C130" s="37"/>
      <c r="D130" s="38"/>
      <c r="E130" s="37"/>
      <c r="F130" s="39"/>
      <c r="G130" s="39"/>
      <c r="H130" s="39"/>
      <c r="I130" s="39"/>
      <c r="J130" s="39"/>
      <c r="K130" s="39"/>
      <c r="L130" s="39"/>
      <c r="M130" s="39"/>
      <c r="N130" s="61">
        <v>4000</v>
      </c>
    </row>
    <row r="131" spans="1:14" x14ac:dyDescent="0.3">
      <c r="A131" s="30" t="s">
        <v>222</v>
      </c>
      <c r="B131" s="31" t="s">
        <v>223</v>
      </c>
      <c r="C131" s="37"/>
      <c r="D131" s="38"/>
      <c r="E131" s="37"/>
      <c r="F131" s="39"/>
      <c r="G131" s="39"/>
      <c r="H131" s="39"/>
      <c r="I131" s="39"/>
      <c r="J131" s="39"/>
      <c r="K131" s="39"/>
      <c r="L131" s="39"/>
      <c r="M131" s="39"/>
      <c r="N131" s="61">
        <v>2000</v>
      </c>
    </row>
    <row r="132" spans="1:14" x14ac:dyDescent="0.3">
      <c r="A132" s="42">
        <v>6.5</v>
      </c>
      <c r="B132" s="43" t="s">
        <v>224</v>
      </c>
      <c r="C132" s="44"/>
      <c r="D132" s="45"/>
      <c r="E132" s="44"/>
      <c r="F132" s="46"/>
      <c r="G132" s="46"/>
      <c r="H132" s="46"/>
      <c r="I132" s="46"/>
      <c r="J132" s="46"/>
      <c r="K132" s="46"/>
      <c r="L132" s="46"/>
      <c r="M132" s="46"/>
      <c r="N132" s="57"/>
    </row>
    <row r="133" spans="1:14" x14ac:dyDescent="0.3">
      <c r="A133" s="30" t="s">
        <v>225</v>
      </c>
      <c r="B133" s="31" t="s">
        <v>226</v>
      </c>
      <c r="C133" s="37"/>
      <c r="D133" s="38"/>
      <c r="E133" s="37"/>
      <c r="F133" s="39"/>
      <c r="G133" s="39"/>
      <c r="H133" s="39"/>
      <c r="I133" s="39"/>
      <c r="J133" s="39"/>
      <c r="K133" s="39"/>
      <c r="L133" s="39"/>
      <c r="M133" s="39"/>
      <c r="N133" s="61">
        <v>1500</v>
      </c>
    </row>
    <row r="134" spans="1:14" x14ac:dyDescent="0.3">
      <c r="A134" s="30" t="s">
        <v>227</v>
      </c>
      <c r="B134" s="31" t="s">
        <v>228</v>
      </c>
      <c r="C134" s="37"/>
      <c r="D134" s="38"/>
      <c r="E134" s="37"/>
      <c r="F134" s="39"/>
      <c r="G134" s="39"/>
      <c r="H134" s="39"/>
      <c r="I134" s="39"/>
      <c r="J134" s="39"/>
      <c r="K134" s="39"/>
      <c r="L134" s="39"/>
      <c r="M134" s="39"/>
      <c r="N134" s="61">
        <v>1000</v>
      </c>
    </row>
    <row r="135" spans="1:14" x14ac:dyDescent="0.3">
      <c r="A135" s="30" t="s">
        <v>229</v>
      </c>
      <c r="B135" s="31" t="s">
        <v>230</v>
      </c>
      <c r="C135" s="37"/>
      <c r="D135" s="38"/>
      <c r="E135" s="37"/>
      <c r="F135" s="39"/>
      <c r="G135" s="39"/>
      <c r="H135" s="39"/>
      <c r="I135" s="39"/>
      <c r="J135" s="39"/>
      <c r="K135" s="39"/>
      <c r="L135" s="39"/>
      <c r="M135" s="39"/>
      <c r="N135" s="61">
        <v>1000</v>
      </c>
    </row>
    <row r="136" spans="1:14" x14ac:dyDescent="0.3">
      <c r="A136" s="30" t="s">
        <v>231</v>
      </c>
      <c r="B136" s="31" t="s">
        <v>232</v>
      </c>
      <c r="C136" s="37"/>
      <c r="D136" s="38"/>
      <c r="E136" s="37"/>
      <c r="F136" s="39"/>
      <c r="G136" s="39"/>
      <c r="H136" s="39"/>
      <c r="I136" s="39"/>
      <c r="J136" s="39"/>
      <c r="K136" s="39"/>
      <c r="L136" s="39"/>
      <c r="M136" s="39"/>
      <c r="N136" s="61">
        <v>500</v>
      </c>
    </row>
    <row r="137" spans="1:14" x14ac:dyDescent="0.3">
      <c r="B137" s="34" t="s">
        <v>14</v>
      </c>
      <c r="C137" s="36">
        <f t="shared" ref="C137:N137" si="0">SUM(C10:C136)</f>
        <v>11500</v>
      </c>
      <c r="D137" s="36">
        <f t="shared" si="0"/>
        <v>18500</v>
      </c>
      <c r="E137" s="36">
        <f t="shared" si="0"/>
        <v>14000</v>
      </c>
      <c r="F137" s="36">
        <f t="shared" si="0"/>
        <v>31000</v>
      </c>
      <c r="G137" s="36">
        <f t="shared" si="0"/>
        <v>33000</v>
      </c>
      <c r="H137" s="36">
        <f t="shared" si="0"/>
        <v>42000</v>
      </c>
      <c r="I137" s="36">
        <f t="shared" si="0"/>
        <v>36000</v>
      </c>
      <c r="J137" s="36">
        <f t="shared" si="0"/>
        <v>39000</v>
      </c>
      <c r="K137" s="36">
        <f t="shared" si="0"/>
        <v>20000</v>
      </c>
      <c r="L137" s="36">
        <f t="shared" si="0"/>
        <v>25000</v>
      </c>
      <c r="M137" s="36">
        <f t="shared" si="0"/>
        <v>11000</v>
      </c>
      <c r="N137" s="36">
        <f t="shared" si="0"/>
        <v>19000</v>
      </c>
    </row>
  </sheetData>
  <mergeCells count="8">
    <mergeCell ref="A75:B75"/>
    <mergeCell ref="A94:B94"/>
    <mergeCell ref="A117:B117"/>
    <mergeCell ref="A6:D6"/>
    <mergeCell ref="A8:B8"/>
    <mergeCell ref="A29:B29"/>
    <mergeCell ref="A58:B58"/>
    <mergeCell ref="A9:B9"/>
  </mergeCells>
  <phoneticPr fontId="11" type="noConversion"/>
  <pageMargins left="0.7" right="0.7" top="0.75" bottom="0.75" header="0.3" footer="0.3"/>
  <pageSetup orientation="landscape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1:O44"/>
  <sheetViews>
    <sheetView showGridLines="0" tabSelected="1" topLeftCell="C11" zoomScale="83" zoomScaleNormal="90" workbookViewId="0">
      <selection activeCell="G18" sqref="G18"/>
    </sheetView>
  </sheetViews>
  <sheetFormatPr baseColWidth="10" defaultColWidth="11.44140625" defaultRowHeight="14.4" x14ac:dyDescent="0.3"/>
  <cols>
    <col min="2" max="2" width="3.33203125" customWidth="1"/>
    <col min="3" max="3" width="44.6640625" bestFit="1" customWidth="1"/>
    <col min="4" max="4" width="16.6640625" customWidth="1"/>
    <col min="5" max="5" width="16.109375" bestFit="1" customWidth="1"/>
    <col min="6" max="6" width="17.44140625" customWidth="1"/>
    <col min="7" max="8" width="14.77734375" bestFit="1" customWidth="1"/>
    <col min="9" max="9" width="14.44140625" bestFit="1" customWidth="1"/>
    <col min="10" max="10" width="16.44140625" bestFit="1" customWidth="1"/>
    <col min="11" max="11" width="15.77734375" customWidth="1"/>
    <col min="12" max="12" width="16.44140625" bestFit="1" customWidth="1"/>
    <col min="13" max="14" width="15.44140625" bestFit="1" customWidth="1"/>
    <col min="15" max="15" width="16.6640625" customWidth="1"/>
    <col min="16" max="16" width="3.33203125" customWidth="1"/>
  </cols>
  <sheetData>
    <row r="1" spans="2:15" ht="15" thickBot="1" x14ac:dyDescent="0.35"/>
    <row r="2" spans="2:15" ht="15" thickTop="1" x14ac:dyDescent="0.3">
      <c r="B2" s="2"/>
      <c r="C2" s="3"/>
      <c r="D2" s="3"/>
      <c r="E2" s="3"/>
      <c r="F2" s="3"/>
      <c r="G2" s="3"/>
      <c r="H2" s="3"/>
      <c r="I2" s="3"/>
      <c r="J2" s="3"/>
      <c r="K2" s="3"/>
      <c r="L2" s="3"/>
      <c r="M2" s="3"/>
      <c r="N2" s="3"/>
      <c r="O2" s="4"/>
    </row>
    <row r="3" spans="2:15" x14ac:dyDescent="0.3">
      <c r="B3" s="5"/>
      <c r="O3" s="6"/>
    </row>
    <row r="4" spans="2:15" x14ac:dyDescent="0.3">
      <c r="B4" s="5"/>
      <c r="O4" s="6"/>
    </row>
    <row r="5" spans="2:15" x14ac:dyDescent="0.3">
      <c r="B5" s="5"/>
      <c r="O5" s="6"/>
    </row>
    <row r="6" spans="2:15" x14ac:dyDescent="0.3">
      <c r="B6" s="5"/>
      <c r="O6" s="6"/>
    </row>
    <row r="7" spans="2:15" ht="21" x14ac:dyDescent="0.4">
      <c r="B7" s="5"/>
      <c r="C7" s="64" t="s">
        <v>9</v>
      </c>
      <c r="D7" s="64"/>
      <c r="E7" s="64"/>
      <c r="F7" s="64"/>
      <c r="G7" s="64"/>
      <c r="H7" s="64"/>
      <c r="I7" s="64"/>
      <c r="J7" s="64"/>
      <c r="K7" s="64"/>
      <c r="L7" s="64"/>
      <c r="M7" s="64"/>
      <c r="N7" s="64"/>
      <c r="O7" s="65"/>
    </row>
    <row r="8" spans="2:15" x14ac:dyDescent="0.3">
      <c r="B8" s="5"/>
      <c r="O8" s="6"/>
    </row>
    <row r="9" spans="2:15" x14ac:dyDescent="0.3">
      <c r="B9" s="5"/>
      <c r="C9" s="21" t="s">
        <v>2</v>
      </c>
      <c r="D9" s="18" t="s">
        <v>10</v>
      </c>
      <c r="E9" s="19"/>
      <c r="F9" s="19"/>
      <c r="G9" s="19"/>
      <c r="H9" s="19"/>
      <c r="I9" s="19"/>
      <c r="J9" s="19"/>
      <c r="K9" s="19"/>
      <c r="L9" s="19"/>
      <c r="M9" s="19"/>
      <c r="N9" s="19"/>
      <c r="O9" s="20"/>
    </row>
    <row r="10" spans="2:15" x14ac:dyDescent="0.3">
      <c r="B10" s="5"/>
      <c r="C10" s="21" t="s">
        <v>3</v>
      </c>
      <c r="D10" s="66" t="s">
        <v>11</v>
      </c>
      <c r="E10" s="67"/>
      <c r="F10" s="67"/>
      <c r="G10" s="67"/>
      <c r="H10" s="67"/>
      <c r="I10" s="67"/>
      <c r="J10" s="67"/>
      <c r="K10" s="67"/>
      <c r="L10" s="67"/>
      <c r="M10" s="67"/>
      <c r="N10" s="67"/>
      <c r="O10" s="68"/>
    </row>
    <row r="11" spans="2:15" x14ac:dyDescent="0.3">
      <c r="B11" s="5"/>
      <c r="C11" s="21" t="s">
        <v>5</v>
      </c>
      <c r="D11" s="69">
        <v>46069</v>
      </c>
      <c r="E11" s="70"/>
      <c r="F11" s="71" t="s">
        <v>6</v>
      </c>
      <c r="G11" s="72"/>
      <c r="H11" s="73">
        <v>46150</v>
      </c>
      <c r="I11" s="67"/>
      <c r="J11" s="74"/>
      <c r="K11" s="71" t="s">
        <v>4</v>
      </c>
      <c r="L11" s="72"/>
      <c r="M11" s="69">
        <v>46094</v>
      </c>
      <c r="N11" s="75"/>
      <c r="O11" s="76"/>
    </row>
    <row r="12" spans="2:15" x14ac:dyDescent="0.3">
      <c r="B12" s="5"/>
      <c r="C12" s="12"/>
      <c r="D12" s="11"/>
      <c r="E12" s="11"/>
      <c r="F12" s="11"/>
      <c r="G12" s="11"/>
      <c r="H12" s="11"/>
      <c r="I12" s="11"/>
      <c r="J12" s="11"/>
      <c r="K12" s="11"/>
      <c r="L12" s="11"/>
      <c r="M12" s="11"/>
      <c r="N12" s="11"/>
      <c r="O12" s="15"/>
    </row>
    <row r="13" spans="2:15" x14ac:dyDescent="0.3">
      <c r="B13" s="5"/>
      <c r="C13" s="22"/>
      <c r="D13" s="62" t="s">
        <v>56</v>
      </c>
      <c r="E13" s="62"/>
      <c r="F13" s="62"/>
      <c r="G13" s="62"/>
      <c r="H13" s="62"/>
      <c r="I13" s="62"/>
      <c r="J13" s="62"/>
      <c r="K13" s="62"/>
      <c r="L13" s="62"/>
      <c r="M13" s="62"/>
      <c r="N13" s="62"/>
      <c r="O13" s="63"/>
    </row>
    <row r="14" spans="2:15" x14ac:dyDescent="0.3">
      <c r="B14" s="5"/>
      <c r="C14" s="23"/>
      <c r="D14" s="24">
        <v>1</v>
      </c>
      <c r="E14" s="24">
        <v>2</v>
      </c>
      <c r="F14" s="24">
        <v>3</v>
      </c>
      <c r="G14" s="24">
        <v>4</v>
      </c>
      <c r="H14" s="24">
        <v>5</v>
      </c>
      <c r="I14" s="24">
        <v>6</v>
      </c>
      <c r="J14" s="24">
        <v>7</v>
      </c>
      <c r="K14" s="24">
        <v>8</v>
      </c>
      <c r="L14" s="24">
        <v>9</v>
      </c>
      <c r="M14" s="24">
        <v>10</v>
      </c>
      <c r="N14" s="24">
        <v>11</v>
      </c>
      <c r="O14" s="24">
        <v>12</v>
      </c>
    </row>
    <row r="15" spans="2:15" x14ac:dyDescent="0.3">
      <c r="B15" s="5"/>
      <c r="C15" s="21" t="s">
        <v>0</v>
      </c>
      <c r="D15" s="1">
        <f>'Detalle de Costos'!C137</f>
        <v>11500</v>
      </c>
      <c r="E15" s="1">
        <f>'Detalle de Costos'!D137</f>
        <v>18500</v>
      </c>
      <c r="F15" s="1">
        <f>'Detalle de Costos'!E137</f>
        <v>14000</v>
      </c>
      <c r="G15" s="1">
        <f>'Detalle de Costos'!F137</f>
        <v>31000</v>
      </c>
      <c r="H15" s="1">
        <f>'Detalle de Costos'!G137</f>
        <v>33000</v>
      </c>
      <c r="I15" s="1">
        <f>'Detalle de Costos'!H137</f>
        <v>42000</v>
      </c>
      <c r="J15" s="1">
        <f>'Detalle de Costos'!I137</f>
        <v>36000</v>
      </c>
      <c r="K15" s="1">
        <f>'Detalle de Costos'!J137</f>
        <v>39000</v>
      </c>
      <c r="L15" s="1">
        <f>'Detalle de Costos'!K137</f>
        <v>20000</v>
      </c>
      <c r="M15" s="1">
        <f>'Detalle de Costos'!L137</f>
        <v>25000</v>
      </c>
      <c r="N15" s="1">
        <f>'Detalle de Costos'!M137</f>
        <v>11000</v>
      </c>
      <c r="O15" s="1">
        <f>'Detalle de Costos'!N137</f>
        <v>19000</v>
      </c>
    </row>
    <row r="16" spans="2:15" x14ac:dyDescent="0.3">
      <c r="B16" s="5"/>
      <c r="C16" s="21" t="s">
        <v>7</v>
      </c>
      <c r="D16" s="17">
        <f>D15</f>
        <v>11500</v>
      </c>
      <c r="E16" s="1">
        <f>E15+D16</f>
        <v>30000</v>
      </c>
      <c r="F16" s="1">
        <f t="shared" ref="F16:O16" si="0">F15+E16</f>
        <v>44000</v>
      </c>
      <c r="G16" s="1">
        <f t="shared" si="0"/>
        <v>75000</v>
      </c>
      <c r="H16" s="1">
        <f t="shared" si="0"/>
        <v>108000</v>
      </c>
      <c r="I16" s="1">
        <f t="shared" si="0"/>
        <v>150000</v>
      </c>
      <c r="J16" s="1">
        <f t="shared" si="0"/>
        <v>186000</v>
      </c>
      <c r="K16" s="1">
        <f t="shared" si="0"/>
        <v>225000</v>
      </c>
      <c r="L16" s="1">
        <f t="shared" si="0"/>
        <v>245000</v>
      </c>
      <c r="M16" s="1">
        <f t="shared" si="0"/>
        <v>270000</v>
      </c>
      <c r="N16" s="1">
        <f t="shared" si="0"/>
        <v>281000</v>
      </c>
      <c r="O16" s="1">
        <f t="shared" si="0"/>
        <v>300000</v>
      </c>
    </row>
    <row r="17" spans="2:15" x14ac:dyDescent="0.3">
      <c r="B17" s="5"/>
      <c r="C17" s="21" t="s">
        <v>1</v>
      </c>
      <c r="D17" s="1">
        <v>8000</v>
      </c>
      <c r="E17" s="1">
        <v>12000</v>
      </c>
      <c r="F17" s="1">
        <v>18000</v>
      </c>
      <c r="G17" s="1">
        <v>25000</v>
      </c>
      <c r="H17" s="1"/>
      <c r="I17" s="1"/>
      <c r="J17" s="1"/>
      <c r="K17" s="1"/>
      <c r="L17" s="1"/>
      <c r="M17" s="1"/>
      <c r="N17" s="1"/>
      <c r="O17" s="16"/>
    </row>
    <row r="18" spans="2:15" x14ac:dyDescent="0.3">
      <c r="B18" s="5"/>
      <c r="C18" s="21" t="s">
        <v>8</v>
      </c>
      <c r="D18" s="1">
        <f>D17</f>
        <v>8000</v>
      </c>
      <c r="E18" s="1">
        <f>D17+E17</f>
        <v>20000</v>
      </c>
      <c r="F18" s="1">
        <f t="shared" ref="F18:G18" si="1">E17+F17</f>
        <v>30000</v>
      </c>
      <c r="G18" s="1">
        <f t="shared" si="1"/>
        <v>43000</v>
      </c>
      <c r="H18" s="1"/>
      <c r="I18" s="1"/>
      <c r="J18" s="1"/>
      <c r="K18" s="1"/>
      <c r="L18" s="1"/>
      <c r="M18" s="1"/>
      <c r="N18" s="1"/>
      <c r="O18" s="16"/>
    </row>
    <row r="19" spans="2:15" x14ac:dyDescent="0.3">
      <c r="B19" s="5"/>
      <c r="O19" s="6"/>
    </row>
    <row r="20" spans="2:15" x14ac:dyDescent="0.3">
      <c r="B20" s="5"/>
      <c r="O20" s="6"/>
    </row>
    <row r="21" spans="2:15" x14ac:dyDescent="0.3">
      <c r="B21" s="5"/>
      <c r="C21" s="7"/>
      <c r="D21" s="13"/>
      <c r="E21" s="14"/>
      <c r="O21" s="6"/>
    </row>
    <row r="22" spans="2:15" x14ac:dyDescent="0.3">
      <c r="B22" s="5"/>
      <c r="O22" s="6"/>
    </row>
    <row r="23" spans="2:15" x14ac:dyDescent="0.3">
      <c r="B23" s="5"/>
      <c r="O23" s="6"/>
    </row>
    <row r="24" spans="2:15" x14ac:dyDescent="0.3">
      <c r="B24" s="5"/>
      <c r="O24" s="6"/>
    </row>
    <row r="25" spans="2:15" x14ac:dyDescent="0.3">
      <c r="B25" s="5"/>
      <c r="O25" s="6"/>
    </row>
    <row r="26" spans="2:15" x14ac:dyDescent="0.3">
      <c r="B26" s="5"/>
      <c r="O26" s="6"/>
    </row>
    <row r="27" spans="2:15" x14ac:dyDescent="0.3">
      <c r="B27" s="5"/>
      <c r="O27" s="6"/>
    </row>
    <row r="28" spans="2:15" x14ac:dyDescent="0.3">
      <c r="B28" s="5"/>
      <c r="O28" s="6"/>
    </row>
    <row r="29" spans="2:15" x14ac:dyDescent="0.3">
      <c r="B29" s="5"/>
      <c r="O29" s="6"/>
    </row>
    <row r="30" spans="2:15" x14ac:dyDescent="0.3">
      <c r="B30" s="5"/>
      <c r="O30" s="6"/>
    </row>
    <row r="31" spans="2:15" x14ac:dyDescent="0.3">
      <c r="B31" s="5"/>
      <c r="O31" s="6"/>
    </row>
    <row r="32" spans="2:15" x14ac:dyDescent="0.3">
      <c r="B32" s="5"/>
      <c r="O32" s="6"/>
    </row>
    <row r="33" spans="2:15" x14ac:dyDescent="0.3">
      <c r="B33" s="5"/>
      <c r="O33" s="6"/>
    </row>
    <row r="34" spans="2:15" x14ac:dyDescent="0.3">
      <c r="B34" s="5"/>
      <c r="O34" s="6"/>
    </row>
    <row r="35" spans="2:15" x14ac:dyDescent="0.3">
      <c r="B35" s="5"/>
      <c r="O35" s="6"/>
    </row>
    <row r="36" spans="2:15" x14ac:dyDescent="0.3">
      <c r="B36" s="5"/>
      <c r="O36" s="6"/>
    </row>
    <row r="37" spans="2:15" x14ac:dyDescent="0.3">
      <c r="B37" s="5"/>
      <c r="O37" s="6"/>
    </row>
    <row r="38" spans="2:15" x14ac:dyDescent="0.3">
      <c r="B38" s="5"/>
      <c r="O38" s="6"/>
    </row>
    <row r="39" spans="2:15" x14ac:dyDescent="0.3">
      <c r="B39" s="5"/>
      <c r="O39" s="6"/>
    </row>
    <row r="40" spans="2:15" x14ac:dyDescent="0.3">
      <c r="B40" s="5"/>
      <c r="O40" s="6"/>
    </row>
    <row r="41" spans="2:15" x14ac:dyDescent="0.3">
      <c r="B41" s="5"/>
      <c r="O41" s="6"/>
    </row>
    <row r="42" spans="2:15" x14ac:dyDescent="0.3">
      <c r="B42" s="5"/>
      <c r="O42" s="6"/>
    </row>
    <row r="43" spans="2:15" ht="15" thickBot="1" x14ac:dyDescent="0.35">
      <c r="B43" s="8"/>
      <c r="C43" s="9"/>
      <c r="D43" s="9"/>
      <c r="E43" s="9"/>
      <c r="F43" s="9"/>
      <c r="G43" s="9"/>
      <c r="H43" s="9"/>
      <c r="I43" s="9"/>
      <c r="J43" s="9"/>
      <c r="K43" s="9"/>
      <c r="L43" s="9"/>
      <c r="M43" s="9"/>
      <c r="N43" s="9"/>
      <c r="O43" s="10"/>
    </row>
    <row r="44" spans="2:15" ht="15" thickTop="1" x14ac:dyDescent="0.3"/>
  </sheetData>
  <mergeCells count="8">
    <mergeCell ref="D13:O13"/>
    <mergeCell ref="C7:O7"/>
    <mergeCell ref="D10:O10"/>
    <mergeCell ref="D11:E11"/>
    <mergeCell ref="F11:G11"/>
    <mergeCell ref="H11:J11"/>
    <mergeCell ref="K11:L11"/>
    <mergeCell ref="M11:O11"/>
  </mergeCells>
  <phoneticPr fontId="11" type="noConversion"/>
  <pageMargins left="0.7" right="0.7" top="0.75" bottom="0.75" header="0.3" footer="0.3"/>
  <pageSetup scale="32"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2</vt:i4>
      </vt:variant>
    </vt:vector>
  </HeadingPairs>
  <TitlesOfParts>
    <vt:vector size="2" baseType="lpstr">
      <vt:lpstr>Detalle de Costos</vt:lpstr>
      <vt:lpstr>Plantilla Curva 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hrizo</dc:creator>
  <cp:lastModifiedBy>IVONNE ALEJANDRA PALAZUELOS GALVEZ</cp:lastModifiedBy>
  <cp:lastPrinted>2026-03-21T05:29:08Z</cp:lastPrinted>
  <dcterms:created xsi:type="dcterms:W3CDTF">2012-05-23T17:29:07Z</dcterms:created>
  <dcterms:modified xsi:type="dcterms:W3CDTF">2026-03-21T06:04:02Z</dcterms:modified>
</cp:coreProperties>
</file>