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pg0\OneDrive\Escritorio\Documentos\octavo semestre\gestion de proyectos\proyecto\sprint 2\"/>
    </mc:Choice>
  </mc:AlternateContent>
  <xr:revisionPtr revIDLastSave="0" documentId="13_ncr:1_{5939F674-B586-44C0-863E-D4E837DD17B9}" xr6:coauthVersionLast="47" xr6:coauthVersionMax="47" xr10:uidLastSave="{00000000-0000-0000-0000-000000000000}"/>
  <bookViews>
    <workbookView xWindow="-108" yWindow="-108" windowWidth="23256" windowHeight="12456" xr2:uid="{55845042-11D8-4DEC-9096-9B7EC7FCA3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2" i="1" l="1"/>
</calcChain>
</file>

<file path=xl/sharedStrings.xml><?xml version="1.0" encoding="utf-8"?>
<sst xmlns="http://schemas.openxmlformats.org/spreadsheetml/2006/main" count="118" uniqueCount="77">
  <si>
    <t>Proyecto:</t>
  </si>
  <si>
    <t xml:space="preserve">Segmentación de mercado para Targeting </t>
  </si>
  <si>
    <t>ID:</t>
  </si>
  <si>
    <t>SMT-2026-01</t>
  </si>
  <si>
    <t>Gerente del proyecto:</t>
  </si>
  <si>
    <t xml:space="preserve">Ivonne Alejandra Palazuelos Gálvez </t>
  </si>
  <si>
    <t>Periodo:</t>
  </si>
  <si>
    <t>Código</t>
  </si>
  <si>
    <t>Actividad</t>
  </si>
  <si>
    <t>Responsable</t>
  </si>
  <si>
    <t>Duración (días)</t>
  </si>
  <si>
    <t>Fecha Inicio</t>
  </si>
  <si>
    <t>Fecha Fin</t>
  </si>
  <si>
    <t>Dependencias</t>
  </si>
  <si>
    <t>Data Analyst Junior</t>
  </si>
  <si>
    <t>Data Analyst Senior</t>
  </si>
  <si>
    <t>Creación de matriz de correlación</t>
  </si>
  <si>
    <t>ML Engineer Lead</t>
  </si>
  <si>
    <t>Gerente de Proyecto</t>
  </si>
  <si>
    <t>Subgerente de Operaciones</t>
  </si>
  <si>
    <t>Todo el equipo</t>
  </si>
  <si>
    <t>2.1.1</t>
  </si>
  <si>
    <t>2.2.1</t>
  </si>
  <si>
    <t>2.2.2</t>
  </si>
  <si>
    <t>2.3.1</t>
  </si>
  <si>
    <t>2.3.2</t>
  </si>
  <si>
    <t>2.3.3</t>
  </si>
  <si>
    <t>2.4.1</t>
  </si>
  <si>
    <t>2.4.2</t>
  </si>
  <si>
    <t>2.4.3</t>
  </si>
  <si>
    <t xml:space="preserve">Costo estimado </t>
  </si>
  <si>
    <t xml:space="preserve">Cronograma </t>
  </si>
  <si>
    <t>02/marzo/2026 - 13/marzo/2026</t>
  </si>
  <si>
    <t>Análisis Univariado con Visualizaciones</t>
  </si>
  <si>
    <t>Análisis Bivariado y Correlaciones</t>
  </si>
  <si>
    <t>Heatmap visual de correlaciones</t>
  </si>
  <si>
    <t>UX/Visual Designer</t>
  </si>
  <si>
    <t>2.2.3</t>
  </si>
  <si>
    <t>Scatter plots de relaciones clave</t>
  </si>
  <si>
    <t>2.2.4</t>
  </si>
  <si>
    <t>Identificación de variables clave</t>
  </si>
  <si>
    <t>Determinación del Número Óptimo de Clusters</t>
  </si>
  <si>
    <t>Método del codo (Elbow)</t>
  </si>
  <si>
    <t>Silhouette Score</t>
  </si>
  <si>
    <t>Validación cualitativa del equipo</t>
  </si>
  <si>
    <t>Equipo completo</t>
  </si>
  <si>
    <t>Documentación y Cierre del Sprint 2 (Hito 1)</t>
  </si>
  <si>
    <t>Preparar reportes finales correspondientes al sprint</t>
  </si>
  <si>
    <t>Actualizar repositorio institucional</t>
  </si>
  <si>
    <t>Reunión de revisión Hito 1</t>
  </si>
  <si>
    <t>-</t>
  </si>
  <si>
    <t>Análisis de variable Gender</t>
  </si>
  <si>
    <t>2.1.2</t>
  </si>
  <si>
    <t>Análisis de variable Age</t>
  </si>
  <si>
    <t>2.1.3</t>
  </si>
  <si>
    <t>Análisis de variable Annual Income</t>
  </si>
  <si>
    <t>2.1.4</t>
  </si>
  <si>
    <t>Análisis de variable Spending Score</t>
  </si>
  <si>
    <t>Preparación de Datos para Modelado</t>
  </si>
  <si>
    <t>Normalización de variables numéricas</t>
  </si>
  <si>
    <t>Codificación de variable categórica</t>
  </si>
  <si>
    <t>Validación de dataset final</t>
  </si>
  <si>
    <t>Implementación Inicial de K-Means</t>
  </si>
  <si>
    <t>2.5.1</t>
  </si>
  <si>
    <t>Configuración de parámetros K-Means</t>
  </si>
  <si>
    <t>2.5.2</t>
  </si>
  <si>
    <t>Entrenamiento del modelo K-Means</t>
  </si>
  <si>
    <t>ML Engineer Support</t>
  </si>
  <si>
    <t>2.5.3</t>
  </si>
  <si>
    <t>Asignación de clusters a clientes</t>
  </si>
  <si>
    <t>2.6.1</t>
  </si>
  <si>
    <t>Limpieza y comentarios del notebook</t>
  </si>
  <si>
    <t>2.6.2</t>
  </si>
  <si>
    <t>Elaboración de reporte de avance</t>
  </si>
  <si>
    <t>2.6.3</t>
  </si>
  <si>
    <t>2.6.4</t>
  </si>
  <si>
    <t>2.6.5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</si>
</sst>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44" formatCode="_-&quot;$&quot;* #,##0.00_-;\-&quot;$&quot;* #,##0.00_-;_-&quot;$&quot;* &quot;-&quot;??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249977111117893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1" fillId="3" borderId="6" xfId="0" applyFont="1" applyFill="1" applyBorder="1" applyAlignment="1">
      <alignment horizontal="right" vertical="top"/>
    </xf>
    <xf numFmtId="0" fontId="1" fillId="3" borderId="6" xfId="0" applyFont="1" applyFill="1" applyBorder="1" applyAlignment="1">
      <alignment horizontal="right" vertical="top" wrapText="1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5" borderId="9" xfId="0" applyFont="1" applyFill="1" applyBorder="1"/>
    <xf numFmtId="14" fontId="1" fillId="5" borderId="10" xfId="0" applyNumberFormat="1" applyFont="1" applyFill="1" applyBorder="1"/>
    <xf numFmtId="14" fontId="1" fillId="5" borderId="6" xfId="0" applyNumberFormat="1" applyFont="1" applyFill="1" applyBorder="1"/>
    <xf numFmtId="0" fontId="1" fillId="5" borderId="11" xfId="0" applyFont="1" applyFill="1" applyBorder="1"/>
    <xf numFmtId="0" fontId="1" fillId="5" borderId="6" xfId="0" applyFont="1" applyFill="1" applyBorder="1"/>
    <xf numFmtId="14" fontId="1" fillId="5" borderId="4" xfId="0" applyNumberFormat="1" applyFont="1" applyFill="1" applyBorder="1"/>
    <xf numFmtId="0" fontId="1" fillId="5" borderId="8" xfId="0" applyFont="1" applyFill="1" applyBorder="1"/>
    <xf numFmtId="0" fontId="0" fillId="0" borderId="17" xfId="0" applyBorder="1"/>
    <xf numFmtId="0" fontId="0" fillId="0" borderId="18" xfId="0" applyBorder="1"/>
    <xf numFmtId="0" fontId="1" fillId="4" borderId="8" xfId="0" applyFont="1" applyFill="1" applyBorder="1" applyAlignment="1">
      <alignment horizontal="center" vertical="center" wrapText="1"/>
    </xf>
    <xf numFmtId="44" fontId="0" fillId="0" borderId="0" xfId="0" applyNumberFormat="1"/>
    <xf numFmtId="8" fontId="1" fillId="5" borderId="11" xfId="1" applyNumberFormat="1" applyFont="1" applyFill="1" applyBorder="1"/>
    <xf numFmtId="8" fontId="1" fillId="5" borderId="8" xfId="1" applyNumberFormat="1" applyFont="1" applyFill="1" applyBorder="1"/>
    <xf numFmtId="8" fontId="0" fillId="0" borderId="8" xfId="1" applyNumberFormat="1" applyFont="1" applyFill="1" applyBorder="1"/>
    <xf numFmtId="0" fontId="0" fillId="0" borderId="6" xfId="0" applyBorder="1"/>
    <xf numFmtId="14" fontId="0" fillId="0" borderId="4" xfId="0" applyNumberFormat="1" applyBorder="1"/>
    <xf numFmtId="0" fontId="0" fillId="0" borderId="8" xfId="0" applyBorder="1"/>
    <xf numFmtId="14" fontId="0" fillId="0" borderId="6" xfId="0" applyNumberFormat="1" applyBorder="1"/>
    <xf numFmtId="8" fontId="3" fillId="0" borderId="8" xfId="1" applyNumberFormat="1" applyFont="1" applyFill="1" applyBorder="1"/>
    <xf numFmtId="8" fontId="3" fillId="0" borderId="11" xfId="1" applyNumberFormat="1" applyFont="1" applyFill="1" applyBorder="1"/>
    <xf numFmtId="8" fontId="3" fillId="0" borderId="7" xfId="1" applyNumberFormat="1" applyFont="1" applyFill="1" applyBorder="1"/>
    <xf numFmtId="8" fontId="3" fillId="0" borderId="6" xfId="1" applyNumberFormat="1" applyFont="1" applyFill="1" applyBorder="1"/>
    <xf numFmtId="0" fontId="0" fillId="0" borderId="9" xfId="0" applyBorder="1"/>
    <xf numFmtId="14" fontId="0" fillId="0" borderId="10" xfId="0" applyNumberFormat="1" applyBorder="1"/>
    <xf numFmtId="14" fontId="0" fillId="0" borderId="9" xfId="0" applyNumberFormat="1" applyBorder="1"/>
    <xf numFmtId="0" fontId="0" fillId="0" borderId="11" xfId="0" applyBorder="1"/>
    <xf numFmtId="0" fontId="0" fillId="0" borderId="12" xfId="0" applyBorder="1"/>
    <xf numFmtId="14" fontId="0" fillId="0" borderId="13" xfId="0" applyNumberFormat="1" applyBorder="1"/>
    <xf numFmtId="14" fontId="0" fillId="0" borderId="12" xfId="0" applyNumberFormat="1" applyBorder="1"/>
    <xf numFmtId="0" fontId="0" fillId="0" borderId="7" xfId="0" applyBorder="1"/>
    <xf numFmtId="8" fontId="0" fillId="0" borderId="6" xfId="0" applyNumberFormat="1" applyBorder="1"/>
    <xf numFmtId="0" fontId="1" fillId="5" borderId="14" xfId="0" applyFont="1" applyFill="1" applyBorder="1"/>
    <xf numFmtId="14" fontId="1" fillId="5" borderId="15" xfId="0" applyNumberFormat="1" applyFont="1" applyFill="1" applyBorder="1"/>
    <xf numFmtId="14" fontId="1" fillId="5" borderId="14" xfId="0" applyNumberFormat="1" applyFont="1" applyFill="1" applyBorder="1"/>
    <xf numFmtId="0" fontId="1" fillId="5" borderId="16" xfId="0" applyFont="1" applyFill="1" applyBorder="1"/>
    <xf numFmtId="8" fontId="1" fillId="5" borderId="16" xfId="1" applyNumberFormat="1" applyFont="1" applyFill="1" applyBorder="1"/>
    <xf numFmtId="8" fontId="1" fillId="5" borderId="6" xfId="1" applyNumberFormat="1" applyFont="1" applyFill="1" applyBorder="1"/>
    <xf numFmtId="8" fontId="1" fillId="5" borderId="6" xfId="0" applyNumberFormat="1" applyFont="1" applyFill="1" applyBorder="1"/>
    <xf numFmtId="8" fontId="4" fillId="0" borderId="0" xfId="0" applyNumberFormat="1" applyFont="1"/>
    <xf numFmtId="0" fontId="0" fillId="0" borderId="6" xfId="0" applyBorder="1" applyAlignment="1">
      <alignment horizontal="left" vertical="top"/>
    </xf>
    <xf numFmtId="0" fontId="0" fillId="0" borderId="6" xfId="0" applyBorder="1" applyAlignment="1">
      <alignment horizontal="left" vertical="center"/>
    </xf>
    <xf numFmtId="0" fontId="2" fillId="2" borderId="1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457200</xdr:colOff>
      <xdr:row>0</xdr:row>
      <xdr:rowOff>123825</xdr:rowOff>
    </xdr:from>
    <xdr:to>
      <xdr:col>2</xdr:col>
      <xdr:colOff>1063534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9C3659FC-2104-4564-A45F-9F10A8D9E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9680" y="123825"/>
          <a:ext cx="1398814" cy="5174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FAB1B-5196-4E93-ADA8-F9097E9223C1}">
  <sheetPr>
    <pageSetUpPr fitToPage="1"/>
  </sheetPr>
  <dimension ref="A1:L42"/>
  <sheetViews>
    <sheetView tabSelected="1" zoomScale="86" workbookViewId="0">
      <selection activeCell="C9" sqref="C9:I9"/>
    </sheetView>
  </sheetViews>
  <sheetFormatPr baseColWidth="10" defaultRowHeight="14.4" x14ac:dyDescent="0.3"/>
  <cols>
    <col min="3" max="3" width="45.44140625" customWidth="1"/>
    <col min="4" max="4" width="23.5546875" customWidth="1"/>
    <col min="5" max="5" width="9.44140625" customWidth="1"/>
    <col min="6" max="6" width="12.88671875" customWidth="1"/>
    <col min="8" max="8" width="13.44140625" customWidth="1"/>
  </cols>
  <sheetData>
    <row r="1" spans="1:12" x14ac:dyDescent="0.3">
      <c r="D1" s="1"/>
      <c r="E1" s="1"/>
      <c r="F1" s="1"/>
      <c r="G1" s="1"/>
    </row>
    <row r="2" spans="1:12" x14ac:dyDescent="0.3">
      <c r="D2" s="1"/>
      <c r="E2" s="1"/>
      <c r="F2" s="1"/>
      <c r="G2" s="1"/>
    </row>
    <row r="3" spans="1:12" x14ac:dyDescent="0.3">
      <c r="D3" s="1"/>
      <c r="E3" s="1"/>
      <c r="F3" s="1"/>
      <c r="G3" s="1"/>
    </row>
    <row r="4" spans="1:12" ht="15" thickBot="1" x14ac:dyDescent="0.35">
      <c r="D4" s="1"/>
      <c r="E4" s="1"/>
      <c r="F4" s="1"/>
      <c r="G4" s="1"/>
    </row>
    <row r="5" spans="1:12" ht="15" thickTop="1" x14ac:dyDescent="0.3">
      <c r="A5" s="2"/>
      <c r="B5" s="3"/>
      <c r="C5" s="3"/>
      <c r="D5" s="4"/>
      <c r="E5" s="4"/>
      <c r="F5" s="4"/>
      <c r="G5" s="4"/>
      <c r="H5" s="3"/>
      <c r="I5" s="3"/>
      <c r="J5" s="19"/>
    </row>
    <row r="6" spans="1:12" ht="21" x14ac:dyDescent="0.4">
      <c r="A6" s="5"/>
      <c r="B6" s="53" t="s">
        <v>31</v>
      </c>
      <c r="C6" s="54"/>
      <c r="D6" s="54"/>
      <c r="E6" s="54"/>
      <c r="F6" s="54"/>
      <c r="G6" s="54"/>
      <c r="H6" s="54"/>
      <c r="I6" s="54"/>
      <c r="J6" s="20"/>
    </row>
    <row r="7" spans="1:12" x14ac:dyDescent="0.3">
      <c r="A7" s="5"/>
      <c r="D7" s="1"/>
      <c r="E7" s="1"/>
      <c r="F7" s="1"/>
      <c r="G7" s="1"/>
      <c r="J7" s="20"/>
    </row>
    <row r="8" spans="1:12" x14ac:dyDescent="0.3">
      <c r="A8" s="5"/>
      <c r="B8" s="6" t="s">
        <v>0</v>
      </c>
      <c r="C8" s="51" t="s">
        <v>1</v>
      </c>
      <c r="D8" s="51"/>
      <c r="E8" s="51"/>
      <c r="F8" s="51"/>
      <c r="G8" s="51"/>
      <c r="H8" s="51"/>
      <c r="I8" s="51"/>
      <c r="J8" s="20"/>
    </row>
    <row r="9" spans="1:12" x14ac:dyDescent="0.3">
      <c r="A9" s="5"/>
      <c r="B9" s="6" t="s">
        <v>2</v>
      </c>
      <c r="C9" s="51" t="s">
        <v>3</v>
      </c>
      <c r="D9" s="51"/>
      <c r="E9" s="51"/>
      <c r="F9" s="51"/>
      <c r="G9" s="51"/>
      <c r="H9" s="51"/>
      <c r="I9" s="51"/>
      <c r="J9" s="20"/>
    </row>
    <row r="10" spans="1:12" ht="28.8" x14ac:dyDescent="0.3">
      <c r="A10" s="5"/>
      <c r="B10" s="7" t="s">
        <v>4</v>
      </c>
      <c r="C10" s="52" t="s">
        <v>5</v>
      </c>
      <c r="D10" s="52"/>
      <c r="E10" s="52"/>
      <c r="F10" s="52"/>
      <c r="G10" s="52"/>
      <c r="H10" s="52"/>
      <c r="I10" s="52"/>
      <c r="J10" s="20"/>
    </row>
    <row r="11" spans="1:12" x14ac:dyDescent="0.3">
      <c r="A11" s="5"/>
      <c r="B11" s="6" t="s">
        <v>6</v>
      </c>
      <c r="C11" s="51" t="s">
        <v>32</v>
      </c>
      <c r="D11" s="51"/>
      <c r="E11" s="51"/>
      <c r="F11" s="51"/>
      <c r="G11" s="51"/>
      <c r="H11" s="51"/>
      <c r="I11" s="51"/>
      <c r="J11" s="20"/>
    </row>
    <row r="12" spans="1:12" x14ac:dyDescent="0.3">
      <c r="A12" s="5"/>
      <c r="J12" s="20"/>
    </row>
    <row r="13" spans="1:12" ht="28.8" x14ac:dyDescent="0.3">
      <c r="A13" s="5"/>
      <c r="B13" s="8" t="s">
        <v>7</v>
      </c>
      <c r="C13" s="8" t="s">
        <v>8</v>
      </c>
      <c r="D13" s="8" t="s">
        <v>9</v>
      </c>
      <c r="E13" s="9" t="s">
        <v>10</v>
      </c>
      <c r="F13" s="10" t="s">
        <v>11</v>
      </c>
      <c r="G13" s="8" t="s">
        <v>12</v>
      </c>
      <c r="H13" s="11" t="s">
        <v>13</v>
      </c>
      <c r="I13" s="21" t="s">
        <v>30</v>
      </c>
      <c r="J13" s="20"/>
    </row>
    <row r="14" spans="1:12" x14ac:dyDescent="0.3">
      <c r="A14" s="5"/>
      <c r="B14" s="12">
        <v>2.1</v>
      </c>
      <c r="C14" s="12" t="s">
        <v>33</v>
      </c>
      <c r="D14" s="12" t="s">
        <v>15</v>
      </c>
      <c r="E14" s="12">
        <v>3</v>
      </c>
      <c r="F14" s="13">
        <v>46083</v>
      </c>
      <c r="G14" s="14">
        <v>46085</v>
      </c>
      <c r="H14" s="15" t="s">
        <v>50</v>
      </c>
      <c r="I14" s="23"/>
      <c r="J14" s="20"/>
    </row>
    <row r="15" spans="1:12" x14ac:dyDescent="0.3">
      <c r="A15" s="5"/>
      <c r="B15" s="26" t="s">
        <v>21</v>
      </c>
      <c r="C15" s="26" t="s">
        <v>51</v>
      </c>
      <c r="D15" s="26" t="s">
        <v>36</v>
      </c>
      <c r="E15" s="26">
        <v>1</v>
      </c>
      <c r="F15" s="27">
        <v>46083</v>
      </c>
      <c r="G15" s="27">
        <v>46083</v>
      </c>
      <c r="H15" s="28" t="s">
        <v>50</v>
      </c>
      <c r="I15" s="25">
        <v>2000</v>
      </c>
      <c r="J15" s="20"/>
    </row>
    <row r="16" spans="1:12" x14ac:dyDescent="0.3">
      <c r="A16" s="5"/>
      <c r="B16" s="34" t="s">
        <v>52</v>
      </c>
      <c r="C16" s="34" t="s">
        <v>53</v>
      </c>
      <c r="D16" s="34" t="s">
        <v>14</v>
      </c>
      <c r="E16" s="34">
        <v>1</v>
      </c>
      <c r="F16" s="35">
        <v>46084</v>
      </c>
      <c r="G16" s="35">
        <v>46084</v>
      </c>
      <c r="H16" s="37" t="s">
        <v>21</v>
      </c>
      <c r="I16" s="31">
        <v>2500</v>
      </c>
      <c r="J16" s="20"/>
      <c r="L16" s="22"/>
    </row>
    <row r="17" spans="1:10" x14ac:dyDescent="0.3">
      <c r="A17" s="5"/>
      <c r="B17" s="26" t="s">
        <v>54</v>
      </c>
      <c r="C17" s="26" t="s">
        <v>55</v>
      </c>
      <c r="D17" s="26" t="s">
        <v>14</v>
      </c>
      <c r="E17" s="26">
        <v>1</v>
      </c>
      <c r="F17" s="27">
        <v>46085</v>
      </c>
      <c r="G17" s="29">
        <v>46085</v>
      </c>
      <c r="H17" s="28" t="s">
        <v>52</v>
      </c>
      <c r="I17" s="30">
        <v>2500</v>
      </c>
      <c r="J17" s="20"/>
    </row>
    <row r="18" spans="1:10" x14ac:dyDescent="0.3">
      <c r="A18" s="5"/>
      <c r="B18" s="34" t="s">
        <v>56</v>
      </c>
      <c r="C18" s="34" t="s">
        <v>57</v>
      </c>
      <c r="D18" s="34" t="s">
        <v>14</v>
      </c>
      <c r="E18" s="34">
        <v>1</v>
      </c>
      <c r="F18" s="35">
        <v>46085</v>
      </c>
      <c r="G18" s="36">
        <v>46085</v>
      </c>
      <c r="H18" s="37" t="s">
        <v>54</v>
      </c>
      <c r="I18" s="31">
        <v>2000</v>
      </c>
      <c r="J18" s="20"/>
    </row>
    <row r="19" spans="1:10" x14ac:dyDescent="0.3">
      <c r="A19" s="5"/>
      <c r="B19" s="16">
        <v>2.2000000000000002</v>
      </c>
      <c r="C19" s="16" t="s">
        <v>34</v>
      </c>
      <c r="D19" s="16" t="s">
        <v>15</v>
      </c>
      <c r="E19" s="16">
        <v>3</v>
      </c>
      <c r="F19" s="17">
        <v>46086</v>
      </c>
      <c r="G19" s="14">
        <v>46090</v>
      </c>
      <c r="H19" s="18">
        <v>2.1</v>
      </c>
      <c r="I19" s="24"/>
      <c r="J19" s="20"/>
    </row>
    <row r="20" spans="1:10" x14ac:dyDescent="0.3">
      <c r="A20" s="5"/>
      <c r="B20" s="34" t="s">
        <v>22</v>
      </c>
      <c r="C20" s="34" t="s">
        <v>16</v>
      </c>
      <c r="D20" s="34" t="s">
        <v>15</v>
      </c>
      <c r="E20" s="34">
        <v>1</v>
      </c>
      <c r="F20" s="35">
        <v>46086</v>
      </c>
      <c r="G20" s="36">
        <v>46086</v>
      </c>
      <c r="H20" s="37" t="s">
        <v>56</v>
      </c>
      <c r="I20" s="31">
        <v>2500</v>
      </c>
      <c r="J20" s="20"/>
    </row>
    <row r="21" spans="1:10" x14ac:dyDescent="0.3">
      <c r="A21" s="5"/>
      <c r="B21" s="26" t="s">
        <v>23</v>
      </c>
      <c r="C21" s="26" t="s">
        <v>35</v>
      </c>
      <c r="D21" s="26" t="s">
        <v>36</v>
      </c>
      <c r="E21" s="26">
        <v>1</v>
      </c>
      <c r="F21" s="27">
        <v>46087</v>
      </c>
      <c r="G21" s="29">
        <v>46087</v>
      </c>
      <c r="H21" s="28" t="s">
        <v>22</v>
      </c>
      <c r="I21" s="30">
        <v>2500</v>
      </c>
      <c r="J21" s="20"/>
    </row>
    <row r="22" spans="1:10" x14ac:dyDescent="0.3">
      <c r="A22" s="5"/>
      <c r="B22" s="38" t="s">
        <v>37</v>
      </c>
      <c r="C22" s="38" t="s">
        <v>38</v>
      </c>
      <c r="D22" s="38" t="s">
        <v>36</v>
      </c>
      <c r="E22" s="38">
        <v>1</v>
      </c>
      <c r="F22" s="39">
        <v>46090</v>
      </c>
      <c r="G22" s="40">
        <v>46090</v>
      </c>
      <c r="H22" s="41" t="s">
        <v>23</v>
      </c>
      <c r="I22" s="32">
        <v>3000</v>
      </c>
      <c r="J22" s="20"/>
    </row>
    <row r="23" spans="1:10" x14ac:dyDescent="0.3">
      <c r="A23" s="5"/>
      <c r="B23" s="26" t="s">
        <v>39</v>
      </c>
      <c r="C23" s="26" t="s">
        <v>40</v>
      </c>
      <c r="D23" s="26" t="s">
        <v>15</v>
      </c>
      <c r="E23" s="26">
        <v>1</v>
      </c>
      <c r="F23" s="27">
        <v>46090</v>
      </c>
      <c r="G23" s="27">
        <v>46090</v>
      </c>
      <c r="H23" s="28" t="s">
        <v>37</v>
      </c>
      <c r="I23" s="30">
        <v>2000</v>
      </c>
      <c r="J23" s="20"/>
    </row>
    <row r="24" spans="1:10" x14ac:dyDescent="0.3">
      <c r="A24" s="5"/>
      <c r="B24" s="43">
        <v>2.2999999999999998</v>
      </c>
      <c r="C24" s="43" t="s">
        <v>41</v>
      </c>
      <c r="D24" s="43" t="s">
        <v>17</v>
      </c>
      <c r="E24" s="43">
        <v>2</v>
      </c>
      <c r="F24" s="44">
        <v>46091</v>
      </c>
      <c r="G24" s="45">
        <v>46092</v>
      </c>
      <c r="H24" s="46">
        <v>2.2000000000000002</v>
      </c>
      <c r="I24" s="47"/>
      <c r="J24" s="20"/>
    </row>
    <row r="25" spans="1:10" x14ac:dyDescent="0.3">
      <c r="A25" s="5"/>
      <c r="B25" s="34" t="s">
        <v>24</v>
      </c>
      <c r="C25" s="34" t="s">
        <v>42</v>
      </c>
      <c r="D25" s="34" t="s">
        <v>17</v>
      </c>
      <c r="E25" s="34">
        <v>1</v>
      </c>
      <c r="F25" s="35">
        <v>46091</v>
      </c>
      <c r="G25" s="36">
        <v>46091</v>
      </c>
      <c r="H25" s="37" t="s">
        <v>22</v>
      </c>
      <c r="I25" s="31">
        <v>3000</v>
      </c>
      <c r="J25" s="20"/>
    </row>
    <row r="26" spans="1:10" x14ac:dyDescent="0.3">
      <c r="A26" s="5"/>
      <c r="B26" s="26" t="s">
        <v>25</v>
      </c>
      <c r="C26" s="26" t="s">
        <v>43</v>
      </c>
      <c r="D26" s="26" t="s">
        <v>17</v>
      </c>
      <c r="E26" s="26">
        <v>1</v>
      </c>
      <c r="F26" s="27">
        <v>46092</v>
      </c>
      <c r="G26" s="29">
        <v>46092</v>
      </c>
      <c r="H26" s="28" t="s">
        <v>24</v>
      </c>
      <c r="I26" s="30">
        <v>3000</v>
      </c>
      <c r="J26" s="20"/>
    </row>
    <row r="27" spans="1:10" x14ac:dyDescent="0.3">
      <c r="A27" s="5"/>
      <c r="B27" s="26" t="s">
        <v>26</v>
      </c>
      <c r="C27" s="26" t="s">
        <v>44</v>
      </c>
      <c r="D27" s="26" t="s">
        <v>45</v>
      </c>
      <c r="E27" s="26">
        <v>1</v>
      </c>
      <c r="F27" s="29">
        <v>46092</v>
      </c>
      <c r="G27" s="29">
        <v>46092</v>
      </c>
      <c r="H27" s="26" t="s">
        <v>25</v>
      </c>
      <c r="I27" s="33">
        <v>3000</v>
      </c>
      <c r="J27" s="20"/>
    </row>
    <row r="28" spans="1:10" x14ac:dyDescent="0.3">
      <c r="A28" s="5"/>
      <c r="B28" s="16">
        <v>2.4</v>
      </c>
      <c r="C28" s="16" t="s">
        <v>58</v>
      </c>
      <c r="D28" s="16" t="s">
        <v>15</v>
      </c>
      <c r="E28" s="16">
        <v>2</v>
      </c>
      <c r="F28" s="14">
        <v>46091</v>
      </c>
      <c r="G28" s="14">
        <v>46092</v>
      </c>
      <c r="H28" s="16">
        <v>2.2999999999999998</v>
      </c>
      <c r="I28" s="48"/>
      <c r="J28" s="20"/>
    </row>
    <row r="29" spans="1:10" x14ac:dyDescent="0.3">
      <c r="A29" s="5"/>
      <c r="B29" s="26" t="s">
        <v>27</v>
      </c>
      <c r="C29" s="26" t="s">
        <v>59</v>
      </c>
      <c r="D29" s="26" t="s">
        <v>14</v>
      </c>
      <c r="E29" s="26">
        <v>1</v>
      </c>
      <c r="F29" s="29">
        <v>46091</v>
      </c>
      <c r="G29" s="29">
        <v>46091</v>
      </c>
      <c r="H29" s="26" t="s">
        <v>26</v>
      </c>
      <c r="I29" s="33">
        <v>2000</v>
      </c>
      <c r="J29" s="20"/>
    </row>
    <row r="30" spans="1:10" x14ac:dyDescent="0.3">
      <c r="A30" s="5"/>
      <c r="B30" s="26" t="s">
        <v>28</v>
      </c>
      <c r="C30" s="26" t="s">
        <v>60</v>
      </c>
      <c r="D30" s="26" t="s">
        <v>14</v>
      </c>
      <c r="E30" s="26">
        <v>1</v>
      </c>
      <c r="F30" s="29">
        <v>46092</v>
      </c>
      <c r="G30" s="29">
        <v>46092</v>
      </c>
      <c r="H30" s="26" t="s">
        <v>27</v>
      </c>
      <c r="I30" s="33">
        <v>2000</v>
      </c>
      <c r="J30" s="20"/>
    </row>
    <row r="31" spans="1:10" x14ac:dyDescent="0.3">
      <c r="B31" s="26" t="s">
        <v>29</v>
      </c>
      <c r="C31" s="26" t="s">
        <v>61</v>
      </c>
      <c r="D31" s="26" t="s">
        <v>15</v>
      </c>
      <c r="E31" s="26">
        <v>1</v>
      </c>
      <c r="F31" s="29">
        <v>46092</v>
      </c>
      <c r="G31" s="29">
        <v>46092</v>
      </c>
      <c r="H31" s="26" t="s">
        <v>28</v>
      </c>
      <c r="I31" s="42">
        <v>2000</v>
      </c>
    </row>
    <row r="32" spans="1:10" x14ac:dyDescent="0.3">
      <c r="B32" s="16">
        <v>2.5</v>
      </c>
      <c r="C32" s="16" t="s">
        <v>62</v>
      </c>
      <c r="D32" s="16" t="s">
        <v>17</v>
      </c>
      <c r="E32" s="16">
        <v>2</v>
      </c>
      <c r="F32" s="14">
        <v>46093</v>
      </c>
      <c r="G32" s="14">
        <v>46094</v>
      </c>
      <c r="H32" s="16">
        <v>2.4</v>
      </c>
      <c r="I32" s="49"/>
    </row>
    <row r="33" spans="2:9" x14ac:dyDescent="0.3">
      <c r="B33" s="26" t="s">
        <v>63</v>
      </c>
      <c r="C33" s="26" t="s">
        <v>64</v>
      </c>
      <c r="D33" s="26" t="s">
        <v>17</v>
      </c>
      <c r="E33" s="26">
        <v>1</v>
      </c>
      <c r="F33" s="29">
        <v>46093</v>
      </c>
      <c r="G33" s="29">
        <v>46093</v>
      </c>
      <c r="H33" s="26" t="s">
        <v>29</v>
      </c>
      <c r="I33" s="42">
        <v>2500</v>
      </c>
    </row>
    <row r="34" spans="2:9" x14ac:dyDescent="0.3">
      <c r="B34" s="26" t="s">
        <v>65</v>
      </c>
      <c r="C34" s="26" t="s">
        <v>66</v>
      </c>
      <c r="D34" s="26" t="s">
        <v>67</v>
      </c>
      <c r="E34" s="26">
        <v>1</v>
      </c>
      <c r="F34" s="29">
        <v>46093</v>
      </c>
      <c r="G34" s="29">
        <v>46093</v>
      </c>
      <c r="H34" s="26" t="s">
        <v>63</v>
      </c>
      <c r="I34" s="42">
        <v>2500</v>
      </c>
    </row>
    <row r="35" spans="2:9" x14ac:dyDescent="0.3">
      <c r="B35" s="26" t="s">
        <v>68</v>
      </c>
      <c r="C35" s="26" t="s">
        <v>69</v>
      </c>
      <c r="D35" s="26" t="s">
        <v>67</v>
      </c>
      <c r="E35" s="26">
        <v>1</v>
      </c>
      <c r="F35" s="29">
        <v>46094</v>
      </c>
      <c r="G35" s="29">
        <v>46094</v>
      </c>
      <c r="H35" s="26" t="s">
        <v>65</v>
      </c>
      <c r="I35" s="42">
        <v>2000</v>
      </c>
    </row>
    <row r="36" spans="2:9" x14ac:dyDescent="0.3">
      <c r="B36" s="16">
        <v>2.6</v>
      </c>
      <c r="C36" s="16" t="s">
        <v>46</v>
      </c>
      <c r="D36" s="16" t="s">
        <v>18</v>
      </c>
      <c r="E36" s="16">
        <v>2</v>
      </c>
      <c r="F36" s="14">
        <v>46093</v>
      </c>
      <c r="G36" s="14">
        <v>46094</v>
      </c>
      <c r="H36" s="16">
        <v>2.5</v>
      </c>
      <c r="I36" s="49"/>
    </row>
    <row r="37" spans="2:9" x14ac:dyDescent="0.3">
      <c r="B37" s="26" t="s">
        <v>70</v>
      </c>
      <c r="C37" s="26" t="s">
        <v>71</v>
      </c>
      <c r="D37" s="26" t="s">
        <v>15</v>
      </c>
      <c r="E37" s="26">
        <v>1</v>
      </c>
      <c r="F37" s="29">
        <v>46093</v>
      </c>
      <c r="G37" s="29">
        <v>46093</v>
      </c>
      <c r="H37" s="26" t="s">
        <v>68</v>
      </c>
      <c r="I37" s="42">
        <v>800</v>
      </c>
    </row>
    <row r="38" spans="2:9" x14ac:dyDescent="0.3">
      <c r="B38" s="26" t="s">
        <v>72</v>
      </c>
      <c r="C38" s="26" t="s">
        <v>73</v>
      </c>
      <c r="D38" s="26" t="s">
        <v>19</v>
      </c>
      <c r="E38" s="26">
        <v>1</v>
      </c>
      <c r="F38" s="29">
        <v>46093</v>
      </c>
      <c r="G38" s="29">
        <v>46093</v>
      </c>
      <c r="H38" s="26" t="s">
        <v>70</v>
      </c>
      <c r="I38" s="42">
        <v>1000</v>
      </c>
    </row>
    <row r="39" spans="2:9" x14ac:dyDescent="0.3">
      <c r="B39" s="26" t="s">
        <v>74</v>
      </c>
      <c r="C39" s="26" t="s">
        <v>47</v>
      </c>
      <c r="D39" s="26" t="s">
        <v>19</v>
      </c>
      <c r="E39" s="26">
        <v>1</v>
      </c>
      <c r="F39" s="29">
        <v>46094</v>
      </c>
      <c r="G39" s="29">
        <v>46094</v>
      </c>
      <c r="H39" s="26" t="s">
        <v>72</v>
      </c>
      <c r="I39" s="42">
        <v>800</v>
      </c>
    </row>
    <row r="40" spans="2:9" x14ac:dyDescent="0.3">
      <c r="B40" s="26" t="s">
        <v>75</v>
      </c>
      <c r="C40" s="26" t="s">
        <v>48</v>
      </c>
      <c r="D40" s="26" t="s">
        <v>19</v>
      </c>
      <c r="E40" s="26">
        <v>1</v>
      </c>
      <c r="F40" s="29">
        <v>46094</v>
      </c>
      <c r="G40" s="29">
        <v>46094</v>
      </c>
      <c r="H40" s="26" t="s">
        <v>74</v>
      </c>
      <c r="I40" s="42">
        <v>700</v>
      </c>
    </row>
    <row r="41" spans="2:9" x14ac:dyDescent="0.3">
      <c r="B41" s="26" t="s">
        <v>76</v>
      </c>
      <c r="C41" s="26" t="s">
        <v>49</v>
      </c>
      <c r="D41" s="26" t="s">
        <v>20</v>
      </c>
      <c r="E41" s="26">
        <v>1</v>
      </c>
      <c r="F41" s="29">
        <v>46094</v>
      </c>
      <c r="G41" s="29">
        <v>46094</v>
      </c>
      <c r="H41" s="26" t="s">
        <v>75</v>
      </c>
      <c r="I41" s="42">
        <v>700</v>
      </c>
    </row>
    <row r="42" spans="2:9" x14ac:dyDescent="0.3">
      <c r="I42" s="50">
        <f>SUM(I14:I41)</f>
        <v>45000</v>
      </c>
    </row>
  </sheetData>
  <mergeCells count="5">
    <mergeCell ref="C8:I8"/>
    <mergeCell ref="C9:I9"/>
    <mergeCell ref="C10:I10"/>
    <mergeCell ref="C11:I11"/>
    <mergeCell ref="B6:I6"/>
  </mergeCells>
  <pageMargins left="0.7" right="0.7" top="0.75" bottom="0.75" header="0.3" footer="0.3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ALEJANDRA PALAZUELOS GALVEZ</dc:creator>
  <cp:lastModifiedBy>IVONNE ALEJANDRA PALAZUELOS GALVEZ</cp:lastModifiedBy>
  <cp:lastPrinted>2026-03-21T05:27:26Z</cp:lastPrinted>
  <dcterms:created xsi:type="dcterms:W3CDTF">2026-03-03T20:01:14Z</dcterms:created>
  <dcterms:modified xsi:type="dcterms:W3CDTF">2026-03-21T05:30:25Z</dcterms:modified>
</cp:coreProperties>
</file>