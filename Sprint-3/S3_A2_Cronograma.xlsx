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3\"/>
    </mc:Choice>
  </mc:AlternateContent>
  <xr:revisionPtr revIDLastSave="0" documentId="13_ncr:1_{F11D8893-FB9F-467A-A8AE-48D97F3FFA2F}" xr6:coauthVersionLast="47" xr6:coauthVersionMax="47" xr10:uidLastSave="{00000000-0000-0000-0000-000000000000}"/>
  <bookViews>
    <workbookView xWindow="-108" yWindow="-108" windowWidth="23256" windowHeight="12456" xr2:uid="{55845042-11D8-4DEC-9096-9B7EC7FCA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</calcChain>
</file>

<file path=xl/sharedStrings.xml><?xml version="1.0" encoding="utf-8"?>
<sst xmlns="http://schemas.openxmlformats.org/spreadsheetml/2006/main" count="74" uniqueCount="52">
  <si>
    <t>Proyecto:</t>
  </si>
  <si>
    <t xml:space="preserve">Segmentación de mercado para Targeting </t>
  </si>
  <si>
    <t>ID:</t>
  </si>
  <si>
    <t>SMT-2026-01</t>
  </si>
  <si>
    <t>Gerente del proyecto:</t>
  </si>
  <si>
    <t xml:space="preserve">Ivonne Alejandra Palazuelos Gálvez </t>
  </si>
  <si>
    <t>Periodo:</t>
  </si>
  <si>
    <t>Código</t>
  </si>
  <si>
    <t>Actividad</t>
  </si>
  <si>
    <t>Responsable</t>
  </si>
  <si>
    <t>Duración (días)</t>
  </si>
  <si>
    <t>Fecha Inicio</t>
  </si>
  <si>
    <t>Fecha Fin</t>
  </si>
  <si>
    <t>Dependencias</t>
  </si>
  <si>
    <t>Data Analyst Senior</t>
  </si>
  <si>
    <t>ML Engineer Lead</t>
  </si>
  <si>
    <t>Gerente de Proyecto</t>
  </si>
  <si>
    <t>Subgerente de Operaciones</t>
  </si>
  <si>
    <t xml:space="preserve">Costo estimado </t>
  </si>
  <si>
    <t xml:space="preserve">Cronograma </t>
  </si>
  <si>
    <t>UX/Visual Designer</t>
  </si>
  <si>
    <t>-</t>
  </si>
  <si>
    <t>ML Engineer Support</t>
  </si>
  <si>
    <t>Limpieza y comentarios del notebook</t>
  </si>
  <si>
    <t>Elaboración de reporte de avance</t>
  </si>
  <si>
    <t>Optimización de K-Means</t>
  </si>
  <si>
    <t>3.1.1</t>
  </si>
  <si>
    <t>Ajuste de hiperparámetros</t>
  </si>
  <si>
    <t>3.1.2</t>
  </si>
  <si>
    <t>Validación de estabilidad del modelo</t>
  </si>
  <si>
    <t>3.1.3</t>
  </si>
  <si>
    <t>Documentación de configuración final</t>
  </si>
  <si>
    <t>Implementación de Clustering Jerárquico</t>
  </si>
  <si>
    <t>3.2.1</t>
  </si>
  <si>
    <t>Configuración de linkage y métrica</t>
  </si>
  <si>
    <t>3.2.2</t>
  </si>
  <si>
    <t>Generación de dendrograma</t>
  </si>
  <si>
    <t>3.2.3</t>
  </si>
  <si>
    <t>Corte del dendrograma y asignación</t>
  </si>
  <si>
    <t>Evaluación Comparativa de Modelos</t>
  </si>
  <si>
    <t>3.3.1</t>
  </si>
  <si>
    <t>Cálculo de inercia por modelo</t>
  </si>
  <si>
    <t>3.3.2</t>
  </si>
  <si>
    <t>Visualización de clusters en 2D</t>
  </si>
  <si>
    <t>3.3.3</t>
  </si>
  <si>
    <t>Documentación de hallazgos comparativos</t>
  </si>
  <si>
    <t>Documentación y Cierre del Sprint 3</t>
  </si>
  <si>
    <t>3.4.1</t>
  </si>
  <si>
    <t>3.4.2</t>
  </si>
  <si>
    <t>3.4.3</t>
  </si>
  <si>
    <t>Actualización de bitácora y tablero Kanban</t>
  </si>
  <si>
    <t>16/marzo/2026 - 27/marzo/2026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</si>
</sst>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right" vertical="top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9" xfId="0" applyFont="1" applyFill="1" applyBorder="1"/>
    <xf numFmtId="14" fontId="1" fillId="5" borderId="10" xfId="0" applyNumberFormat="1" applyFont="1" applyFill="1" applyBorder="1"/>
    <xf numFmtId="14" fontId="1" fillId="5" borderId="6" xfId="0" applyNumberFormat="1" applyFont="1" applyFill="1" applyBorder="1"/>
    <xf numFmtId="0" fontId="1" fillId="5" borderId="11" xfId="0" applyFont="1" applyFill="1" applyBorder="1"/>
    <xf numFmtId="0" fontId="1" fillId="5" borderId="6" xfId="0" applyFont="1" applyFill="1" applyBorder="1"/>
    <xf numFmtId="14" fontId="1" fillId="5" borderId="4" xfId="0" applyNumberFormat="1" applyFont="1" applyFill="1" applyBorder="1"/>
    <xf numFmtId="0" fontId="1" fillId="5" borderId="8" xfId="0" applyFont="1" applyFill="1" applyBorder="1"/>
    <xf numFmtId="0" fontId="0" fillId="0" borderId="17" xfId="0" applyBorder="1"/>
    <xf numFmtId="0" fontId="0" fillId="0" borderId="18" xfId="0" applyBorder="1"/>
    <xf numFmtId="0" fontId="1" fillId="4" borderId="8" xfId="0" applyFont="1" applyFill="1" applyBorder="1" applyAlignment="1">
      <alignment horizontal="center" vertical="center" wrapText="1"/>
    </xf>
    <xf numFmtId="44" fontId="0" fillId="0" borderId="0" xfId="0" applyNumberFormat="1"/>
    <xf numFmtId="8" fontId="1" fillId="5" borderId="11" xfId="1" applyNumberFormat="1" applyFont="1" applyFill="1" applyBorder="1"/>
    <xf numFmtId="8" fontId="1" fillId="5" borderId="8" xfId="1" applyNumberFormat="1" applyFont="1" applyFill="1" applyBorder="1"/>
    <xf numFmtId="8" fontId="0" fillId="0" borderId="8" xfId="1" applyNumberFormat="1" applyFont="1" applyFill="1" applyBorder="1"/>
    <xf numFmtId="0" fontId="0" fillId="0" borderId="6" xfId="0" applyBorder="1"/>
    <xf numFmtId="14" fontId="0" fillId="0" borderId="4" xfId="0" applyNumberFormat="1" applyBorder="1"/>
    <xf numFmtId="0" fontId="0" fillId="0" borderId="8" xfId="0" applyBorder="1"/>
    <xf numFmtId="14" fontId="0" fillId="0" borderId="6" xfId="0" applyNumberFormat="1" applyBorder="1"/>
    <xf numFmtId="8" fontId="3" fillId="0" borderId="8" xfId="1" applyNumberFormat="1" applyFont="1" applyFill="1" applyBorder="1"/>
    <xf numFmtId="8" fontId="3" fillId="0" borderId="11" xfId="1" applyNumberFormat="1" applyFont="1" applyFill="1" applyBorder="1"/>
    <xf numFmtId="8" fontId="3" fillId="0" borderId="6" xfId="1" applyNumberFormat="1" applyFont="1" applyFill="1" applyBorder="1"/>
    <xf numFmtId="0" fontId="0" fillId="0" borderId="9" xfId="0" applyBorder="1"/>
    <xf numFmtId="14" fontId="0" fillId="0" borderId="10" xfId="0" applyNumberFormat="1" applyBorder="1"/>
    <xf numFmtId="0" fontId="0" fillId="0" borderId="11" xfId="0" applyBorder="1"/>
    <xf numFmtId="8" fontId="4" fillId="0" borderId="0" xfId="0" applyNumberFormat="1" applyFont="1"/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9" xfId="0" applyFont="1" applyFill="1" applyBorder="1"/>
    <xf numFmtId="14" fontId="0" fillId="0" borderId="10" xfId="0" applyNumberFormat="1" applyFont="1" applyFill="1" applyBorder="1"/>
    <xf numFmtId="14" fontId="0" fillId="0" borderId="9" xfId="0" applyNumberFormat="1" applyFont="1" applyFill="1" applyBorder="1"/>
    <xf numFmtId="0" fontId="0" fillId="0" borderId="11" xfId="0" applyFont="1" applyFill="1" applyBorder="1"/>
    <xf numFmtId="0" fontId="0" fillId="0" borderId="6" xfId="0" applyFont="1" applyFill="1" applyBorder="1"/>
    <xf numFmtId="14" fontId="0" fillId="0" borderId="4" xfId="0" applyNumberFormat="1" applyFont="1" applyFill="1" applyBorder="1"/>
    <xf numFmtId="14" fontId="0" fillId="0" borderId="6" xfId="0" applyNumberFormat="1" applyFont="1" applyFill="1" applyBorder="1"/>
    <xf numFmtId="0" fontId="0" fillId="0" borderId="8" xfId="0" applyFont="1" applyFill="1" applyBorder="1"/>
    <xf numFmtId="0" fontId="0" fillId="0" borderId="14" xfId="0" applyFont="1" applyFill="1" applyBorder="1"/>
    <xf numFmtId="14" fontId="0" fillId="0" borderId="15" xfId="0" applyNumberFormat="1" applyFont="1" applyFill="1" applyBorder="1"/>
    <xf numFmtId="14" fontId="0" fillId="0" borderId="14" xfId="0" applyNumberFormat="1" applyFont="1" applyFill="1" applyBorder="1"/>
    <xf numFmtId="0" fontId="0" fillId="0" borderId="16" xfId="0" applyFont="1" applyFill="1" applyBorder="1"/>
    <xf numFmtId="8" fontId="3" fillId="0" borderId="16" xfId="1" applyNumberFormat="1" applyFont="1" applyFill="1" applyBorder="1"/>
    <xf numFmtId="14" fontId="1" fillId="5" borderId="9" xfId="0" applyNumberFormat="1" applyFont="1" applyFill="1" applyBorder="1"/>
    <xf numFmtId="0" fontId="1" fillId="5" borderId="12" xfId="0" applyFont="1" applyFill="1" applyBorder="1"/>
    <xf numFmtId="14" fontId="1" fillId="5" borderId="13" xfId="0" applyNumberFormat="1" applyFont="1" applyFill="1" applyBorder="1"/>
    <xf numFmtId="14" fontId="1" fillId="5" borderId="12" xfId="0" applyNumberFormat="1" applyFont="1" applyFill="1" applyBorder="1"/>
    <xf numFmtId="0" fontId="1" fillId="5" borderId="7" xfId="0" applyFont="1" applyFill="1" applyBorder="1"/>
    <xf numFmtId="8" fontId="1" fillId="5" borderId="7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1063534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C3659FC-2104-4564-A45F-9F10A8D9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23825"/>
          <a:ext cx="1398814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AB1B-5196-4E93-ADA8-F9097E9223C1}">
  <dimension ref="A1:L30"/>
  <sheetViews>
    <sheetView tabSelected="1" topLeftCell="A5" zoomScale="86" workbookViewId="0">
      <selection activeCell="C13" sqref="C13"/>
    </sheetView>
  </sheetViews>
  <sheetFormatPr baseColWidth="10" defaultRowHeight="14.4" x14ac:dyDescent="0.3"/>
  <cols>
    <col min="3" max="3" width="41.5546875" customWidth="1"/>
    <col min="4" max="4" width="23.5546875" customWidth="1"/>
    <col min="5" max="5" width="9.44140625" customWidth="1"/>
    <col min="6" max="6" width="12.88671875" customWidth="1"/>
    <col min="8" max="8" width="13.44140625" customWidth="1"/>
  </cols>
  <sheetData>
    <row r="1" spans="1:12" x14ac:dyDescent="0.3">
      <c r="D1" s="1"/>
      <c r="E1" s="1"/>
      <c r="F1" s="1"/>
      <c r="G1" s="1"/>
    </row>
    <row r="2" spans="1:12" x14ac:dyDescent="0.3">
      <c r="D2" s="1"/>
      <c r="E2" s="1"/>
      <c r="F2" s="1"/>
      <c r="G2" s="1"/>
    </row>
    <row r="3" spans="1:12" x14ac:dyDescent="0.3">
      <c r="D3" s="1"/>
      <c r="E3" s="1"/>
      <c r="F3" s="1"/>
      <c r="G3" s="1"/>
    </row>
    <row r="4" spans="1:12" ht="15" thickBot="1" x14ac:dyDescent="0.35">
      <c r="D4" s="1"/>
      <c r="E4" s="1"/>
      <c r="F4" s="1"/>
      <c r="G4" s="1"/>
    </row>
    <row r="5" spans="1:12" ht="15" thickTop="1" x14ac:dyDescent="0.3">
      <c r="A5" s="2"/>
      <c r="B5" s="3"/>
      <c r="C5" s="3"/>
      <c r="D5" s="4"/>
      <c r="E5" s="4"/>
      <c r="F5" s="4"/>
      <c r="G5" s="4"/>
      <c r="H5" s="3"/>
      <c r="I5" s="3"/>
      <c r="J5" s="19"/>
    </row>
    <row r="6" spans="1:12" ht="21" x14ac:dyDescent="0.4">
      <c r="A6" s="5"/>
      <c r="B6" s="39" t="s">
        <v>19</v>
      </c>
      <c r="C6" s="40"/>
      <c r="D6" s="40"/>
      <c r="E6" s="40"/>
      <c r="F6" s="40"/>
      <c r="G6" s="40"/>
      <c r="H6" s="40"/>
      <c r="I6" s="40"/>
      <c r="J6" s="20"/>
    </row>
    <row r="7" spans="1:12" x14ac:dyDescent="0.3">
      <c r="A7" s="5"/>
      <c r="D7" s="1"/>
      <c r="E7" s="1"/>
      <c r="F7" s="1"/>
      <c r="G7" s="1"/>
      <c r="J7" s="20"/>
    </row>
    <row r="8" spans="1:12" x14ac:dyDescent="0.3">
      <c r="A8" s="5"/>
      <c r="B8" s="6" t="s">
        <v>0</v>
      </c>
      <c r="C8" s="37" t="s">
        <v>1</v>
      </c>
      <c r="D8" s="37"/>
      <c r="E8" s="37"/>
      <c r="F8" s="37"/>
      <c r="G8" s="37"/>
      <c r="H8" s="37"/>
      <c r="I8" s="37"/>
      <c r="J8" s="20"/>
    </row>
    <row r="9" spans="1:12" x14ac:dyDescent="0.3">
      <c r="A9" s="5"/>
      <c r="B9" s="6" t="s">
        <v>2</v>
      </c>
      <c r="C9" s="37" t="s">
        <v>3</v>
      </c>
      <c r="D9" s="37"/>
      <c r="E9" s="37"/>
      <c r="F9" s="37"/>
      <c r="G9" s="37"/>
      <c r="H9" s="37"/>
      <c r="I9" s="37"/>
      <c r="J9" s="20"/>
    </row>
    <row r="10" spans="1:12" ht="28.8" x14ac:dyDescent="0.3">
      <c r="A10" s="5"/>
      <c r="B10" s="7" t="s">
        <v>4</v>
      </c>
      <c r="C10" s="38" t="s">
        <v>5</v>
      </c>
      <c r="D10" s="38"/>
      <c r="E10" s="38"/>
      <c r="F10" s="38"/>
      <c r="G10" s="38"/>
      <c r="H10" s="38"/>
      <c r="I10" s="38"/>
      <c r="J10" s="20"/>
    </row>
    <row r="11" spans="1:12" x14ac:dyDescent="0.3">
      <c r="A11" s="5"/>
      <c r="B11" s="6" t="s">
        <v>6</v>
      </c>
      <c r="C11" s="37" t="s">
        <v>51</v>
      </c>
      <c r="D11" s="37"/>
      <c r="E11" s="37"/>
      <c r="F11" s="37"/>
      <c r="G11" s="37"/>
      <c r="H11" s="37"/>
      <c r="I11" s="37"/>
      <c r="J11" s="20"/>
    </row>
    <row r="12" spans="1:12" x14ac:dyDescent="0.3">
      <c r="A12" s="5"/>
      <c r="J12" s="20"/>
    </row>
    <row r="13" spans="1:12" ht="28.8" x14ac:dyDescent="0.3">
      <c r="A13" s="5"/>
      <c r="B13" s="8" t="s">
        <v>7</v>
      </c>
      <c r="C13" s="8" t="s">
        <v>8</v>
      </c>
      <c r="D13" s="8" t="s">
        <v>9</v>
      </c>
      <c r="E13" s="9" t="s">
        <v>10</v>
      </c>
      <c r="F13" s="10" t="s">
        <v>11</v>
      </c>
      <c r="G13" s="8" t="s">
        <v>12</v>
      </c>
      <c r="H13" s="11" t="s">
        <v>13</v>
      </c>
      <c r="I13" s="21" t="s">
        <v>18</v>
      </c>
      <c r="J13" s="20"/>
    </row>
    <row r="14" spans="1:12" x14ac:dyDescent="0.3">
      <c r="A14" s="5"/>
      <c r="B14" s="12">
        <v>3.1</v>
      </c>
      <c r="C14" s="12" t="s">
        <v>25</v>
      </c>
      <c r="D14" s="12" t="s">
        <v>15</v>
      </c>
      <c r="E14" s="12">
        <v>3</v>
      </c>
      <c r="F14" s="13">
        <v>46097</v>
      </c>
      <c r="G14" s="14">
        <v>46099</v>
      </c>
      <c r="H14" s="15" t="s">
        <v>21</v>
      </c>
      <c r="I14" s="23"/>
      <c r="J14" s="20"/>
    </row>
    <row r="15" spans="1:12" x14ac:dyDescent="0.3">
      <c r="A15" s="5"/>
      <c r="B15" s="26" t="s">
        <v>26</v>
      </c>
      <c r="C15" s="26" t="s">
        <v>27</v>
      </c>
      <c r="D15" s="26" t="s">
        <v>22</v>
      </c>
      <c r="E15" s="26">
        <v>1</v>
      </c>
      <c r="F15" s="27">
        <v>46097</v>
      </c>
      <c r="G15" s="27">
        <v>46097</v>
      </c>
      <c r="H15" s="28" t="s">
        <v>21</v>
      </c>
      <c r="I15" s="25">
        <v>6000</v>
      </c>
      <c r="J15" s="20"/>
    </row>
    <row r="16" spans="1:12" x14ac:dyDescent="0.3">
      <c r="A16" s="5"/>
      <c r="B16" s="33" t="s">
        <v>28</v>
      </c>
      <c r="C16" s="33" t="s">
        <v>29</v>
      </c>
      <c r="D16" s="33" t="s">
        <v>22</v>
      </c>
      <c r="E16" s="33">
        <v>1</v>
      </c>
      <c r="F16" s="34">
        <v>46098</v>
      </c>
      <c r="G16" s="34">
        <v>46098</v>
      </c>
      <c r="H16" s="35" t="s">
        <v>26</v>
      </c>
      <c r="I16" s="31">
        <v>6000</v>
      </c>
      <c r="J16" s="20"/>
      <c r="L16" s="22"/>
    </row>
    <row r="17" spans="1:10" x14ac:dyDescent="0.3">
      <c r="A17" s="5"/>
      <c r="B17" s="26" t="s">
        <v>30</v>
      </c>
      <c r="C17" s="26" t="s">
        <v>31</v>
      </c>
      <c r="D17" s="26" t="s">
        <v>15</v>
      </c>
      <c r="E17" s="26">
        <v>1</v>
      </c>
      <c r="F17" s="27">
        <v>46099</v>
      </c>
      <c r="G17" s="29">
        <v>46099</v>
      </c>
      <c r="H17" s="28" t="s">
        <v>28</v>
      </c>
      <c r="I17" s="30">
        <v>6000</v>
      </c>
      <c r="J17" s="20"/>
    </row>
    <row r="18" spans="1:10" x14ac:dyDescent="0.3">
      <c r="A18" s="5"/>
      <c r="B18" s="12">
        <v>3.2</v>
      </c>
      <c r="C18" s="12" t="s">
        <v>32</v>
      </c>
      <c r="D18" s="12" t="s">
        <v>15</v>
      </c>
      <c r="E18" s="12">
        <v>3</v>
      </c>
      <c r="F18" s="13">
        <v>46100</v>
      </c>
      <c r="G18" s="54">
        <v>46104</v>
      </c>
      <c r="H18" s="15">
        <v>3.1</v>
      </c>
      <c r="I18" s="23"/>
      <c r="J18" s="20"/>
    </row>
    <row r="19" spans="1:10" x14ac:dyDescent="0.3">
      <c r="A19" s="5"/>
      <c r="B19" s="45" t="s">
        <v>33</v>
      </c>
      <c r="C19" s="45" t="s">
        <v>34</v>
      </c>
      <c r="D19" s="45" t="s">
        <v>15</v>
      </c>
      <c r="E19" s="45">
        <v>1</v>
      </c>
      <c r="F19" s="46">
        <v>46100</v>
      </c>
      <c r="G19" s="47">
        <v>46100</v>
      </c>
      <c r="H19" s="48" t="s">
        <v>30</v>
      </c>
      <c r="I19" s="30">
        <v>7000</v>
      </c>
      <c r="J19" s="20"/>
    </row>
    <row r="20" spans="1:10" x14ac:dyDescent="0.3">
      <c r="A20" s="5"/>
      <c r="B20" s="41" t="s">
        <v>35</v>
      </c>
      <c r="C20" s="41" t="s">
        <v>36</v>
      </c>
      <c r="D20" s="41" t="s">
        <v>20</v>
      </c>
      <c r="E20" s="41">
        <v>1</v>
      </c>
      <c r="F20" s="42">
        <v>46101</v>
      </c>
      <c r="G20" s="43">
        <v>46101</v>
      </c>
      <c r="H20" s="44" t="s">
        <v>33</v>
      </c>
      <c r="I20" s="31">
        <v>8000</v>
      </c>
      <c r="J20" s="20"/>
    </row>
    <row r="21" spans="1:10" x14ac:dyDescent="0.3">
      <c r="A21" s="5"/>
      <c r="B21" s="45" t="s">
        <v>37</v>
      </c>
      <c r="C21" s="45" t="s">
        <v>38</v>
      </c>
      <c r="D21" s="45" t="s">
        <v>22</v>
      </c>
      <c r="E21" s="45">
        <v>1</v>
      </c>
      <c r="F21" s="46">
        <v>46104</v>
      </c>
      <c r="G21" s="47">
        <v>46104</v>
      </c>
      <c r="H21" s="48" t="s">
        <v>35</v>
      </c>
      <c r="I21" s="30">
        <v>7000</v>
      </c>
      <c r="J21" s="20"/>
    </row>
    <row r="22" spans="1:10" x14ac:dyDescent="0.3">
      <c r="A22" s="5"/>
      <c r="B22" s="55">
        <v>3.3</v>
      </c>
      <c r="C22" s="55" t="s">
        <v>39</v>
      </c>
      <c r="D22" s="55" t="s">
        <v>15</v>
      </c>
      <c r="E22" s="55">
        <v>2</v>
      </c>
      <c r="F22" s="56">
        <v>46105</v>
      </c>
      <c r="G22" s="57">
        <v>46106</v>
      </c>
      <c r="H22" s="58">
        <v>3.2</v>
      </c>
      <c r="I22" s="59"/>
      <c r="J22" s="20"/>
    </row>
    <row r="23" spans="1:10" x14ac:dyDescent="0.3">
      <c r="A23" s="5"/>
      <c r="B23" s="45" t="s">
        <v>40</v>
      </c>
      <c r="C23" s="45" t="s">
        <v>41</v>
      </c>
      <c r="D23" s="45" t="s">
        <v>22</v>
      </c>
      <c r="E23" s="45">
        <v>1</v>
      </c>
      <c r="F23" s="46">
        <v>46105</v>
      </c>
      <c r="G23" s="46">
        <v>46105</v>
      </c>
      <c r="H23" s="48" t="s">
        <v>37</v>
      </c>
      <c r="I23" s="30">
        <v>6000</v>
      </c>
      <c r="J23" s="20"/>
    </row>
    <row r="24" spans="1:10" x14ac:dyDescent="0.3">
      <c r="A24" s="5"/>
      <c r="B24" s="49" t="s">
        <v>42</v>
      </c>
      <c r="C24" s="49" t="s">
        <v>43</v>
      </c>
      <c r="D24" s="49" t="s">
        <v>20</v>
      </c>
      <c r="E24" s="49">
        <v>1</v>
      </c>
      <c r="F24" s="50">
        <v>46106</v>
      </c>
      <c r="G24" s="51">
        <v>46106</v>
      </c>
      <c r="H24" s="52" t="s">
        <v>40</v>
      </c>
      <c r="I24" s="53">
        <v>7000</v>
      </c>
      <c r="J24" s="20"/>
    </row>
    <row r="25" spans="1:10" x14ac:dyDescent="0.3">
      <c r="A25" s="5"/>
      <c r="B25" s="41" t="s">
        <v>44</v>
      </c>
      <c r="C25" s="41" t="s">
        <v>45</v>
      </c>
      <c r="D25" s="41" t="s">
        <v>14</v>
      </c>
      <c r="E25" s="41">
        <v>1</v>
      </c>
      <c r="F25" s="42">
        <v>46106</v>
      </c>
      <c r="G25" s="43">
        <v>46106</v>
      </c>
      <c r="H25" s="44" t="s">
        <v>42</v>
      </c>
      <c r="I25" s="31">
        <v>5000</v>
      </c>
      <c r="J25" s="20"/>
    </row>
    <row r="26" spans="1:10" x14ac:dyDescent="0.3">
      <c r="A26" s="5"/>
      <c r="B26" s="16">
        <v>3.4</v>
      </c>
      <c r="C26" s="16" t="s">
        <v>46</v>
      </c>
      <c r="D26" s="16" t="s">
        <v>16</v>
      </c>
      <c r="E26" s="16">
        <v>2</v>
      </c>
      <c r="F26" s="17">
        <v>46107</v>
      </c>
      <c r="G26" s="14">
        <v>46108</v>
      </c>
      <c r="H26" s="18">
        <v>3.3</v>
      </c>
      <c r="I26" s="24"/>
      <c r="J26" s="20"/>
    </row>
    <row r="27" spans="1:10" x14ac:dyDescent="0.3">
      <c r="A27" s="5"/>
      <c r="B27" s="45" t="s">
        <v>47</v>
      </c>
      <c r="C27" s="45" t="s">
        <v>23</v>
      </c>
      <c r="D27" s="45" t="s">
        <v>15</v>
      </c>
      <c r="E27" s="45">
        <v>1</v>
      </c>
      <c r="F27" s="47">
        <v>46107</v>
      </c>
      <c r="G27" s="47">
        <v>46107</v>
      </c>
      <c r="H27" s="45" t="s">
        <v>44</v>
      </c>
      <c r="I27" s="32">
        <v>5000</v>
      </c>
      <c r="J27" s="20"/>
    </row>
    <row r="28" spans="1:10" x14ac:dyDescent="0.3">
      <c r="A28" s="5"/>
      <c r="B28" s="45" t="s">
        <v>48</v>
      </c>
      <c r="C28" s="45" t="s">
        <v>24</v>
      </c>
      <c r="D28" s="45" t="s">
        <v>17</v>
      </c>
      <c r="E28" s="45">
        <v>1</v>
      </c>
      <c r="F28" s="47">
        <v>46107</v>
      </c>
      <c r="G28" s="47">
        <v>46107</v>
      </c>
      <c r="H28" s="45" t="s">
        <v>47</v>
      </c>
      <c r="I28" s="32">
        <v>6000</v>
      </c>
      <c r="J28" s="20"/>
    </row>
    <row r="29" spans="1:10" x14ac:dyDescent="0.3">
      <c r="A29" s="5"/>
      <c r="B29" s="45" t="s">
        <v>49</v>
      </c>
      <c r="C29" s="45" t="s">
        <v>50</v>
      </c>
      <c r="D29" s="45" t="s">
        <v>16</v>
      </c>
      <c r="E29" s="45">
        <v>1</v>
      </c>
      <c r="F29" s="47">
        <v>46108</v>
      </c>
      <c r="G29" s="47">
        <v>46108</v>
      </c>
      <c r="H29" s="45" t="s">
        <v>48</v>
      </c>
      <c r="I29" s="32">
        <v>6000</v>
      </c>
      <c r="J29" s="20"/>
    </row>
    <row r="30" spans="1:10" x14ac:dyDescent="0.3">
      <c r="I30" s="36">
        <f>SUM(I14:I29)</f>
        <v>75000</v>
      </c>
    </row>
  </sheetData>
  <mergeCells count="5">
    <mergeCell ref="C8:I8"/>
    <mergeCell ref="C9:I9"/>
    <mergeCell ref="C10:I10"/>
    <mergeCell ref="C11:I11"/>
    <mergeCell ref="B6:I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dcterms:created xsi:type="dcterms:W3CDTF">2026-03-03T20:01:14Z</dcterms:created>
  <dcterms:modified xsi:type="dcterms:W3CDTF">2026-03-04T21:54:55Z</dcterms:modified>
</cp:coreProperties>
</file>