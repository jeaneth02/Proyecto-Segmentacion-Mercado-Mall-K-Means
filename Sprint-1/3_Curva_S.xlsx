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1\"/>
    </mc:Choice>
  </mc:AlternateContent>
  <xr:revisionPtr revIDLastSave="0" documentId="13_ncr:1_{8157950B-3C2D-4B17-8D00-1F7FF62278C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etalle de Costos" sheetId="1" r:id="rId1"/>
    <sheet name="Ejempl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1" l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17" i="1"/>
  <c r="O16" i="1"/>
  <c r="O15" i="1"/>
  <c r="O14" i="1"/>
  <c r="D48" i="1"/>
  <c r="E48" i="1"/>
  <c r="F48" i="1"/>
  <c r="G48" i="1"/>
  <c r="H48" i="1"/>
  <c r="I48" i="1"/>
  <c r="J48" i="1"/>
  <c r="K48" i="1"/>
  <c r="L48" i="1"/>
  <c r="M48" i="1"/>
  <c r="N48" i="1"/>
  <c r="O18" i="3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15" i="3"/>
  <c r="N15" i="3"/>
  <c r="M15" i="3"/>
  <c r="L15" i="3"/>
  <c r="K15" i="3"/>
  <c r="J15" i="3"/>
  <c r="I15" i="3"/>
  <c r="H15" i="3"/>
  <c r="G15" i="3"/>
  <c r="F15" i="3"/>
  <c r="E15" i="3"/>
  <c r="C48" i="1"/>
  <c r="D15" i="3" s="1"/>
  <c r="D16" i="3" s="1"/>
  <c r="E16" i="3" s="1"/>
  <c r="F16" i="3" s="1"/>
  <c r="G16" i="3" s="1"/>
  <c r="H16" i="3" s="1"/>
  <c r="I16" i="3" s="1"/>
  <c r="O12" i="1"/>
  <c r="O11" i="1"/>
  <c r="O10" i="1"/>
  <c r="O48" i="1" s="1"/>
  <c r="J16" i="3" l="1"/>
  <c r="K16" i="3" s="1"/>
  <c r="L16" i="3" s="1"/>
  <c r="M16" i="3" s="1"/>
  <c r="N16" i="3" s="1"/>
  <c r="O16" i="3" s="1"/>
</calcChain>
</file>

<file path=xl/sharedStrings.xml><?xml version="1.0" encoding="utf-8"?>
<sst xmlns="http://schemas.openxmlformats.org/spreadsheetml/2006/main" count="377" uniqueCount="91">
  <si>
    <t>Costos por paquete de trabajo</t>
  </si>
  <si>
    <t>Nombre del Proyecto</t>
  </si>
  <si>
    <t>Segmentación de mercado para Targeting</t>
  </si>
  <si>
    <t>Código</t>
  </si>
  <si>
    <t>SMT-2026-01</t>
  </si>
  <si>
    <t>EDT / Paquete de Trabajo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</si>
  <si>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</si>
  <si>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</si>
  <si>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</si>
  <si>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</si>
  <si>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</si>
  <si>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</si>
  <si>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</si>
  <si>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</si>
  <si>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</si>
  <si>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</si>
  <si>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</si>
  <si>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</si>
  <si>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</si>
  <si>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1  –  Gestión Integral del Proyecto</t>
  </si>
  <si>
    <t>1.1.1</t>
  </si>
  <si>
    <t>Tablero Kanban de sprints</t>
  </si>
  <si>
    <t>1.1.2</t>
  </si>
  <si>
    <t>Bitácora de decisiones y cambios</t>
  </si>
  <si>
    <t>1.1.3</t>
  </si>
  <si>
    <t>Repositorio de documentos</t>
  </si>
  <si>
    <t>2  –  Análisis Exploratorio de Datos (EDA)</t>
  </si>
  <si>
    <t>2.1.1</t>
  </si>
  <si>
    <t>Reporte de calidad de datos</t>
  </si>
  <si>
    <t>2.1.2.1</t>
  </si>
  <si>
    <t>Histogramas de distribución</t>
  </si>
  <si>
    <t>2.1.2.2</t>
  </si>
  <si>
    <t>Scatter plot de ingresos vs gasto</t>
  </si>
  <si>
    <t>2.1.2.3</t>
  </si>
  <si>
    <t>Heatmap de correlación</t>
  </si>
  <si>
    <t>2.1.3</t>
  </si>
  <si>
    <t>Análisis de patrones preliminares</t>
  </si>
  <si>
    <t>3  –  Modelo de Segmentación</t>
  </si>
  <si>
    <t>3.1.1.1</t>
  </si>
  <si>
    <t>Preprocesamiento de datos</t>
  </si>
  <si>
    <t>3.1.1.2</t>
  </si>
  <si>
    <t>Implementación K-means</t>
  </si>
  <si>
    <t>3.1.1.3</t>
  </si>
  <si>
    <t>Implementación Hierarchical Clustering</t>
  </si>
  <si>
    <t>3.1.2</t>
  </si>
  <si>
    <t>Validación cualitativa de clusters</t>
  </si>
  <si>
    <t>3.1.3</t>
  </si>
  <si>
    <t>Selección del modelo óptimo</t>
  </si>
  <si>
    <t>4  –  Caracterización de Segmentos</t>
  </si>
  <si>
    <t>4.1.1.1</t>
  </si>
  <si>
    <t>Estadísticas descriptivas por cluster</t>
  </si>
  <si>
    <t>4.2</t>
  </si>
  <si>
    <t>Comportamiento de compra</t>
  </si>
  <si>
    <t>4.3</t>
  </si>
  <si>
    <t>Sizing de mercado</t>
  </si>
  <si>
    <t>5  –  Estrategia Comercial y Visualización</t>
  </si>
  <si>
    <t>5.1.1.1</t>
  </si>
  <si>
    <t>Wireframe del dashboard</t>
  </si>
  <si>
    <t>5.1.1.2</t>
  </si>
  <si>
    <t>Implementación interactiva</t>
  </si>
  <si>
    <t>5.1.2</t>
  </si>
  <si>
    <t>Gráficos de perfil comparativo</t>
  </si>
  <si>
    <t>5.2.1</t>
  </si>
  <si>
    <t>Recomendaciones de targeting</t>
  </si>
  <si>
    <t>5.2.2</t>
  </si>
  <si>
    <t>Asignación sugerida de recursos</t>
  </si>
  <si>
    <t>6  –  Cierre y Entrega Final</t>
  </si>
  <si>
    <t>6.1.1</t>
  </si>
  <si>
    <t>Documentación técnica consolidada</t>
  </si>
  <si>
    <t>6.1.2.1</t>
  </si>
  <si>
    <t>Diapositivas de contexto y metodología</t>
  </si>
  <si>
    <t>6.1.2.2</t>
  </si>
  <si>
    <t>Narrativa ejecutiva y resultados</t>
  </si>
  <si>
    <t>Curva S de Recursos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</si>
  <si>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</si>
  <si>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</si>
  <si>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</si>
  <si>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</si>
  <si>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</si>
  <si>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</si>
  <si>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</si>
  <si>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 Acumulado</t>
  </si>
  <si>
    <t>16/Feb/2026</t>
  </si>
  <si>
    <t>09/May/2026</t>
  </si>
  <si>
    <t>18/Feb/2026</t>
  </si>
  <si>
    <t>2026  –  Semanas del Proyecto</t>
  </si>
  <si>
    <t>Costo Real ($MXN) – SIMULADO</t>
  </si>
  <si>
    <t>⚠ Presupuesto total: $300,000 MXN  |  Costo Real SIMULADO — reemplazar con valores reales al cerrar cada semana.</t>
  </si>
  <si>
    <t>-</t>
  </si>
  <si>
    <t/>
  </si>
  <si>
    <t>$1,553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</si>
</sst>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(* #,##0.00_);_(* \(#,##0.00\);_(* \-??_);_(@_)"/>
    <numFmt numFmtId="166" formatCode="\$#,##0"/>
    <numFmt numFmtId="167" formatCode="_(\$* #,##0.00_);_(\$* \(#,##0.00\);_(\$* \-??_);_(@_)"/>
    <numFmt numFmtId="168" formatCode="&quot;$&quot;#,##0.00"/>
  </numFmts>
  <fonts count="23">
    <font>
      <sz val="11"/>
      <color theme="1"/>
      <name val="Calibri"/>
      <family val="2"/>
      <charset val="1"/>
    </font>
    <font>
      <sz val="11"/>
      <color theme="1"/>
      <name val="Corbel"/>
      <family val="2"/>
      <charset val="1"/>
    </font>
    <font>
      <b/>
      <sz val="16"/>
      <color theme="1"/>
      <name val="Corbel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1"/>
      <color theme="0"/>
      <name val="Corbel"/>
      <family val="2"/>
      <charset val="1"/>
    </font>
    <font>
      <b/>
      <sz val="11"/>
      <color theme="0"/>
      <name val="Corbel"/>
      <family val="2"/>
      <charset val="1"/>
    </font>
    <font>
      <b/>
      <sz val="9"/>
      <color rgb="FFFFFFFF"/>
      <name val="Arial"/>
      <family val="2"/>
    </font>
    <font>
      <b/>
      <sz val="10"/>
      <color theme="0"/>
      <name val="Corbel"/>
      <family val="2"/>
      <charset val="1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Corbe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orbel"/>
      <family val="2"/>
    </font>
    <font>
      <sz val="10"/>
      <color rgb="FFFFFFFF"/>
      <name val="Corbel"/>
      <family val="2"/>
    </font>
    <font>
      <b/>
      <sz val="10"/>
      <color theme="0"/>
      <name val="Corbel"/>
      <family val="2"/>
    </font>
    <font>
      <sz val="8"/>
      <name val="Calibri"/>
      <family val="2"/>
      <charset val="1"/>
    </font>
    <font>
      <sz val="11"/>
      <color theme="1"/>
      <name val="Corbel  "/>
    </font>
    <font>
      <b/>
      <sz val="11"/>
      <color theme="0"/>
      <name val="Corbel  "/>
    </font>
    <font>
      <b/>
      <sz val="11"/>
      <color rgb="FFFFFFFF"/>
      <name val="Corbel  "/>
    </font>
    <font>
      <b/>
      <sz val="11"/>
      <color rgb="FF000000"/>
      <name val="Corbel  "/>
    </font>
    <font>
      <sz val="11"/>
      <color rgb="FF000000"/>
      <name val="Corbel  "/>
    </font>
    <font>
      <i/>
      <sz val="11"/>
      <color rgb="FF555555"/>
      <name val="Corbel  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5073"/>
        <bgColor rgb="FF00376C"/>
      </patternFill>
    </fill>
    <fill>
      <patternFill patternType="solid">
        <fgColor rgb="FF00376C"/>
        <bgColor rgb="FF005073"/>
      </patternFill>
    </fill>
    <fill>
      <patternFill patternType="solid">
        <fgColor rgb="FFDAE3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376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 tint="0.49989318521683401"/>
      </bottom>
      <diagonal/>
    </border>
    <border>
      <left style="thin">
        <color auto="1"/>
      </left>
      <right style="thin">
        <color theme="1" tint="0.49989318521683401"/>
      </right>
      <top style="thin">
        <color auto="1"/>
      </top>
      <bottom style="thin">
        <color auto="1"/>
      </bottom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 style="thin">
        <color theme="1" tint="0.49989318521683401"/>
      </bottom>
      <diagonal/>
    </border>
    <border>
      <left style="thin">
        <color theme="1" tint="0.49989318521683401"/>
      </left>
      <right style="thin">
        <color theme="1" tint="0.49989318521683401"/>
      </right>
      <top style="thin">
        <color theme="1" tint="0.49989318521683401"/>
      </top>
      <bottom/>
      <diagonal/>
    </border>
    <border>
      <left style="thin">
        <color theme="1" tint="0.49989318521683401"/>
      </left>
      <right/>
      <top style="thin">
        <color theme="1" tint="0.49989318521683401"/>
      </top>
      <bottom style="thin">
        <color theme="1" tint="0.4998931852168340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4">
    <xf numFmtId="0" fontId="0" fillId="0" borderId="0"/>
    <xf numFmtId="165" fontId="12" fillId="0" borderId="0"/>
    <xf numFmtId="167" fontId="12" fillId="0" borderId="0"/>
    <xf numFmtId="9" fontId="12" fillId="0" borderId="0"/>
  </cellStyleXfs>
  <cellXfs count="77">
    <xf numFmtId="0" fontId="0" fillId="0" borderId="0" xfId="0"/>
    <xf numFmtId="0" fontId="4" fillId="0" borderId="2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164" fontId="5" fillId="3" borderId="0" xfId="0" applyNumberFormat="1" applyFont="1" applyFill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top"/>
      <protection locked="0"/>
    </xf>
    <xf numFmtId="0" fontId="6" fillId="3" borderId="0" xfId="0" applyFont="1" applyFill="1" applyAlignment="1" applyProtection="1">
      <alignment horizontal="center" vertical="top"/>
      <protection locked="0"/>
    </xf>
    <xf numFmtId="0" fontId="7" fillId="3" borderId="2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  <protection locked="0"/>
    </xf>
    <xf numFmtId="0" fontId="8" fillId="3" borderId="5" xfId="1" applyNumberFormat="1" applyFont="1" applyFill="1" applyBorder="1" applyAlignment="1" applyProtection="1">
      <alignment horizontal="center" vertical="top"/>
      <protection locked="0"/>
    </xf>
    <xf numFmtId="0" fontId="9" fillId="3" borderId="2" xfId="1" applyNumberFormat="1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left" vertical="center" wrapText="1"/>
      <protection locked="0"/>
    </xf>
    <xf numFmtId="166" fontId="4" fillId="5" borderId="2" xfId="1" applyNumberFormat="1" applyFont="1" applyFill="1" applyBorder="1" applyAlignment="1" applyProtection="1">
      <alignment horizontal="center" vertical="center"/>
      <protection locked="0"/>
    </xf>
    <xf numFmtId="165" fontId="11" fillId="0" borderId="5" xfId="1" applyFont="1" applyBorder="1" applyAlignment="1" applyProtection="1">
      <alignment vertical="top"/>
      <protection locked="0"/>
    </xf>
    <xf numFmtId="165" fontId="9" fillId="3" borderId="2" xfId="1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 wrapText="1"/>
    </xf>
    <xf numFmtId="165" fontId="8" fillId="3" borderId="5" xfId="1" applyFont="1" applyFill="1" applyBorder="1" applyAlignment="1" applyProtection="1">
      <alignment vertical="top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vertical="top"/>
      <protection locked="0"/>
    </xf>
    <xf numFmtId="165" fontId="11" fillId="0" borderId="5" xfId="1" applyFont="1" applyBorder="1" applyAlignment="1" applyProtection="1">
      <alignment horizontal="center" vertical="top"/>
      <protection locked="0"/>
    </xf>
    <xf numFmtId="165" fontId="11" fillId="0" borderId="5" xfId="1" applyFont="1" applyBorder="1" applyAlignment="1" applyProtection="1">
      <alignment horizontal="center" vertical="top" wrapText="1"/>
      <protection locked="0"/>
    </xf>
    <xf numFmtId="165" fontId="11" fillId="0" borderId="6" xfId="1" applyFont="1" applyBorder="1" applyAlignment="1" applyProtection="1">
      <alignment horizontal="center" vertical="top"/>
      <protection locked="0"/>
    </xf>
    <xf numFmtId="165" fontId="11" fillId="0" borderId="6" xfId="1" applyFont="1" applyBorder="1" applyAlignment="1" applyProtection="1">
      <alignment horizontal="center" vertical="top" wrapText="1"/>
      <protection locked="0"/>
    </xf>
    <xf numFmtId="165" fontId="11" fillId="0" borderId="6" xfId="1" applyFont="1" applyBorder="1" applyAlignment="1" applyProtection="1">
      <alignment vertical="top"/>
      <protection locked="0"/>
    </xf>
    <xf numFmtId="0" fontId="11" fillId="0" borderId="7" xfId="0" applyFont="1" applyBorder="1" applyAlignment="1" applyProtection="1">
      <alignment vertical="top"/>
      <protection locked="0"/>
    </xf>
    <xf numFmtId="165" fontId="11" fillId="0" borderId="2" xfId="1" applyFont="1" applyBorder="1" applyAlignment="1" applyProtection="1">
      <alignment horizontal="center" vertical="top"/>
      <protection locked="0"/>
    </xf>
    <xf numFmtId="165" fontId="11" fillId="0" borderId="2" xfId="1" applyFont="1" applyBorder="1" applyAlignment="1" applyProtection="1">
      <alignment horizontal="center" vertical="top" wrapText="1"/>
      <protection locked="0"/>
    </xf>
    <xf numFmtId="165" fontId="11" fillId="0" borderId="2" xfId="1" applyFont="1" applyBorder="1" applyAlignment="1" applyProtection="1">
      <alignment vertical="top"/>
      <protection locked="0"/>
    </xf>
    <xf numFmtId="166" fontId="3" fillId="4" borderId="2" xfId="1" applyNumberFormat="1" applyFont="1" applyFill="1" applyBorder="1" applyAlignment="1" applyProtection="1">
      <alignment horizontal="center" vertical="center"/>
      <protection locked="0"/>
    </xf>
    <xf numFmtId="165" fontId="1" fillId="6" borderId="2" xfId="1" applyFont="1" applyFill="1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2" fontId="11" fillId="0" borderId="5" xfId="1" applyNumberFormat="1" applyFont="1" applyBorder="1" applyAlignment="1" applyProtection="1">
      <alignment horizontal="center" vertical="top"/>
      <protection locked="0"/>
    </xf>
    <xf numFmtId="2" fontId="11" fillId="0" borderId="5" xfId="1" applyNumberFormat="1" applyFont="1" applyBorder="1" applyAlignment="1" applyProtection="1">
      <alignment horizontal="center" vertical="top" wrapText="1"/>
      <protection locked="0"/>
    </xf>
    <xf numFmtId="2" fontId="11" fillId="0" borderId="5" xfId="1" applyNumberFormat="1" applyFont="1" applyBorder="1" applyAlignment="1" applyProtection="1">
      <alignment vertical="top"/>
      <protection locked="0"/>
    </xf>
    <xf numFmtId="168" fontId="13" fillId="0" borderId="2" xfId="1" applyNumberFormat="1" applyFont="1" applyBorder="1" applyAlignment="1" applyProtection="1">
      <alignment horizontal="center" vertical="center"/>
      <protection locked="0"/>
    </xf>
    <xf numFmtId="168" fontId="14" fillId="3" borderId="2" xfId="1" applyNumberFormat="1" applyFont="1" applyFill="1" applyBorder="1" applyAlignment="1" applyProtection="1">
      <alignment horizontal="center" vertical="center"/>
      <protection locked="0"/>
    </xf>
    <xf numFmtId="168" fontId="15" fillId="3" borderId="2" xfId="1" applyNumberFormat="1" applyFont="1" applyFill="1" applyBorder="1" applyAlignment="1" applyProtection="1">
      <alignment horizontal="center" vertical="center"/>
      <protection locked="0"/>
    </xf>
    <xf numFmtId="168" fontId="13" fillId="7" borderId="2" xfId="1" applyNumberFormat="1" applyFont="1" applyFill="1" applyBorder="1" applyAlignment="1" applyProtection="1">
      <alignment horizontal="center" vertical="center"/>
      <protection locked="0"/>
    </xf>
    <xf numFmtId="168" fontId="15" fillId="8" borderId="2" xfId="1" applyNumberFormat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17" fillId="0" borderId="0" xfId="0" applyFont="1"/>
    <xf numFmtId="0" fontId="17" fillId="0" borderId="12" xfId="0" applyFont="1" applyBorder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17" fillId="0" borderId="12" xfId="0" applyFont="1" applyBorder="1" applyAlignment="1">
      <alignment horizontal="left"/>
    </xf>
    <xf numFmtId="0" fontId="17" fillId="4" borderId="2" xfId="0" applyFont="1" applyFill="1" applyBorder="1"/>
    <xf numFmtId="0" fontId="18" fillId="4" borderId="2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9" fontId="17" fillId="0" borderId="0" xfId="3" applyFont="1" applyAlignment="1">
      <alignment vertical="center"/>
    </xf>
    <xf numFmtId="0" fontId="17" fillId="0" borderId="14" xfId="0" applyFont="1" applyBorder="1"/>
    <xf numFmtId="0" fontId="17" fillId="0" borderId="15" xfId="0" applyFont="1" applyBorder="1"/>
    <xf numFmtId="0" fontId="19" fillId="3" borderId="1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64" fontId="21" fillId="0" borderId="2" xfId="0" applyNumberFormat="1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6" fontId="21" fillId="5" borderId="2" xfId="2" applyNumberFormat="1" applyFont="1" applyFill="1" applyBorder="1" applyAlignment="1">
      <alignment horizontal="center" vertical="center"/>
    </xf>
    <xf numFmtId="166" fontId="19" fillId="3" borderId="2" xfId="2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166" fontId="17" fillId="6" borderId="2" xfId="2" applyNumberFormat="1" applyFont="1" applyFill="1" applyBorder="1" applyAlignment="1">
      <alignment horizontal="center" vertical="center"/>
    </xf>
    <xf numFmtId="166" fontId="19" fillId="4" borderId="2" xfId="2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BE4B48"/>
      <rgbColor rgb="FFFFFFCC"/>
      <rgbColor rgb="FFDAE3F3"/>
      <rgbColor rgb="FF660066"/>
      <rgbColor rgb="FFFF8080"/>
      <rgbColor rgb="FF0050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555555"/>
      <rgbColor rgb="FF878787"/>
      <rgbColor rgb="FF00376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0403345655341006"/>
          <c:y val="1.7047357214766634E-2"/>
          <c:w val="0.70598709103049195"/>
          <c:h val="0.89882651443070105"/>
        </c:manualLayout>
      </c:layout>
      <c:lineChart>
        <c:grouping val="standard"/>
        <c:varyColors val="0"/>
        <c:ser>
          <c:idx val="0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Ejemplo!$D$14:$O$14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Ejemplo!$D$16:$O$16</c:f>
              <c:numCache>
                <c:formatCode>\$#,##0</c:formatCode>
                <c:ptCount val="12"/>
                <c:pt idx="0">
                  <c:v>17081</c:v>
                </c:pt>
                <c:pt idx="1">
                  <c:v>18634</c:v>
                </c:pt>
                <c:pt idx="2">
                  <c:v>21787</c:v>
                </c:pt>
                <c:pt idx="3">
                  <c:v>48232</c:v>
                </c:pt>
                <c:pt idx="4">
                  <c:v>71524</c:v>
                </c:pt>
                <c:pt idx="5">
                  <c:v>110344</c:v>
                </c:pt>
                <c:pt idx="6">
                  <c:v>149164</c:v>
                </c:pt>
                <c:pt idx="7">
                  <c:v>189537</c:v>
                </c:pt>
                <c:pt idx="8">
                  <c:v>222146</c:v>
                </c:pt>
                <c:pt idx="9">
                  <c:v>252596</c:v>
                </c:pt>
                <c:pt idx="10">
                  <c:v>257596</c:v>
                </c:pt>
                <c:pt idx="11">
                  <c:v>265096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2-B548-A586-E4D055D6F11B}"/>
            </c:ext>
          </c:extLst>
        </c:ser>
        <c:ser>
          <c:idx val="1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Ejemplo!$D$14:$O$14</c:f>
              <c:strCache>
                <c:ptCount val="12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  <c:pt idx="6">
                  <c:v>Sem 7</c:v>
                </c:pt>
                <c:pt idx="7">
                  <c:v>Sem 8</c:v>
                </c:pt>
                <c:pt idx="8">
                  <c:v>Sem 9</c:v>
                </c:pt>
                <c:pt idx="9">
                  <c:v>Sem 10</c:v>
                </c:pt>
                <c:pt idx="10">
                  <c:v>Sem 11</c:v>
                </c:pt>
                <c:pt idx="11">
                  <c:v>Sem 12</c:v>
                </c:pt>
              </c:strCache>
            </c:strRef>
          </c:cat>
          <c:val>
            <c:numRef>
              <c:f>Ejemplo!$D$18:$O$18</c:f>
              <c:numCache>
                <c:formatCode>\$#,##0</c:formatCode>
                <c:ptCount val="12"/>
                <c:pt idx="0">
                  <c:v>4969</c:v>
                </c:pt>
                <c:pt idx="1">
                  <c:v>11180</c:v>
                </c:pt>
                <c:pt idx="2">
                  <c:v>17391</c:v>
                </c:pt>
                <c:pt idx="3">
                  <c:v>23602</c:v>
                </c:pt>
                <c:pt idx="4">
                  <c:v>29192</c:v>
                </c:pt>
                <c:pt idx="5">
                  <c:v>36024</c:v>
                </c:pt>
                <c:pt idx="6">
                  <c:v>43477</c:v>
                </c:pt>
                <c:pt idx="7">
                  <c:v>52173</c:v>
                </c:pt>
                <c:pt idx="8">
                  <c:v>61490</c:v>
                </c:pt>
                <c:pt idx="9">
                  <c:v>70807</c:v>
                </c:pt>
                <c:pt idx="10">
                  <c:v>79503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2-B548-A586-E4D055D6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90593"/>
        <c:axId val="87167913"/>
      </c:lineChart>
      <c:catAx>
        <c:axId val="534905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7167913"/>
        <c:crosses val="autoZero"/>
        <c:auto val="1"/>
        <c:lblAlgn val="ctr"/>
        <c:lblOffset val="100"/>
        <c:noMultiLvlLbl val="0"/>
      </c:catAx>
      <c:valAx>
        <c:axId val="87167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\$* #,##0_-;&quot;-$&quot;* #,##0_-;_-\$* \-??_-;_-@_-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  <a:effectLst>
            <a:softEdge rad="0"/>
          </a:effectLst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3490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746280</xdr:colOff>
      <xdr:row>18</xdr:row>
      <xdr:rowOff>142920</xdr:rowOff>
    </xdr:from>
    <xdr:to>
      <xdr:col>8</xdr:col>
      <xdr:colOff>888999</xdr:colOff>
      <xdr:row>42</xdr:row>
      <xdr:rowOff>110879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48"/>
  <sheetViews>
    <sheetView topLeftCell="A3" zoomScale="62" zoomScaleNormal="85" workbookViewId="0">
      <pane xSplit="7" topLeftCell="H1" activePane="topRight" state="frozen"/>
      <selection activeCell="A20" sqref="A20"/>
      <selection pane="topRight" activeCell="L30" sqref="L30"/>
    </sheetView>
  </sheetViews>
  <sheetFormatPr baseColWidth="10" defaultColWidth="11.44140625" defaultRowHeight="14.4"/>
  <cols>
    <col min="1" max="1" width="7.77734375" style="2" customWidth="1"/>
    <col min="2" max="2" width="49" style="3" customWidth="1"/>
    <col min="3" max="3" width="10.33203125" style="3" customWidth="1"/>
    <col min="4" max="4" width="10.44140625" style="3" customWidth="1"/>
    <col min="5" max="5" width="10.77734375" style="3" customWidth="1"/>
    <col min="6" max="14" width="10.44140625" style="3" customWidth="1"/>
    <col min="15" max="15" width="13.44140625" style="3" customWidth="1"/>
    <col min="16" max="62" width="10.44140625" style="3" customWidth="1"/>
    <col min="63" max="16384" width="11.44140625" style="3"/>
  </cols>
  <sheetData>
    <row r="3" spans="1:62" ht="22.5" customHeight="1">
      <c r="D3" s="4" t="s">
        <v>0</v>
      </c>
    </row>
    <row r="5" spans="1:62">
      <c r="A5" s="49" t="s">
        <v>1</v>
      </c>
      <c r="B5" s="49"/>
      <c r="C5" s="49"/>
      <c r="D5" s="49"/>
      <c r="E5" s="50" t="s">
        <v>2</v>
      </c>
      <c r="F5" s="50"/>
      <c r="G5" s="50"/>
      <c r="H5" s="50"/>
      <c r="I5" s="50"/>
      <c r="J5" s="50"/>
      <c r="K5" s="50"/>
      <c r="L5" s="50"/>
      <c r="M5" s="50"/>
      <c r="N5" s="50"/>
    </row>
    <row r="6" spans="1:62" ht="15.75" customHeight="1">
      <c r="A6" s="5" t="s">
        <v>3</v>
      </c>
      <c r="B6" s="1" t="s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ht="3.7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</row>
    <row r="8" spans="1:62">
      <c r="A8" s="51" t="s">
        <v>5</v>
      </c>
      <c r="B8" s="51"/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16</v>
      </c>
      <c r="N8" s="9" t="s">
        <v>17</v>
      </c>
      <c r="O8" s="10" t="s">
        <v>18</v>
      </c>
      <c r="P8" s="11">
        <v>14</v>
      </c>
      <c r="Q8" s="11">
        <v>15</v>
      </c>
      <c r="R8" s="11">
        <v>16</v>
      </c>
      <c r="S8" s="11">
        <v>17</v>
      </c>
      <c r="T8" s="11">
        <v>18</v>
      </c>
      <c r="U8" s="11">
        <v>19</v>
      </c>
      <c r="V8" s="11">
        <v>20</v>
      </c>
      <c r="W8" s="11">
        <v>21</v>
      </c>
      <c r="X8" s="11">
        <v>22</v>
      </c>
      <c r="Y8" s="11">
        <v>23</v>
      </c>
      <c r="Z8" s="11">
        <v>24</v>
      </c>
      <c r="AA8" s="11">
        <v>25</v>
      </c>
      <c r="AB8" s="11">
        <v>26</v>
      </c>
      <c r="AC8" s="11">
        <v>27</v>
      </c>
      <c r="AD8" s="11">
        <v>28</v>
      </c>
      <c r="AE8" s="11">
        <v>29</v>
      </c>
      <c r="AF8" s="11">
        <v>30</v>
      </c>
      <c r="AG8" s="11">
        <v>31</v>
      </c>
      <c r="AH8" s="11">
        <v>32</v>
      </c>
      <c r="AI8" s="11">
        <v>33</v>
      </c>
      <c r="AJ8" s="11">
        <v>34</v>
      </c>
      <c r="AK8" s="11">
        <v>35</v>
      </c>
      <c r="AL8" s="11">
        <v>36</v>
      </c>
      <c r="AM8" s="11">
        <v>37</v>
      </c>
      <c r="AN8" s="11">
        <v>38</v>
      </c>
      <c r="AO8" s="11">
        <v>39</v>
      </c>
      <c r="AP8" s="11">
        <v>40</v>
      </c>
      <c r="AQ8" s="11">
        <v>41</v>
      </c>
      <c r="AR8" s="11">
        <v>42</v>
      </c>
      <c r="AS8" s="11">
        <v>43</v>
      </c>
      <c r="AT8" s="11">
        <v>44</v>
      </c>
      <c r="AU8" s="11">
        <v>45</v>
      </c>
      <c r="AV8" s="11">
        <v>46</v>
      </c>
      <c r="AW8" s="11">
        <v>47</v>
      </c>
      <c r="AX8" s="11">
        <v>48</v>
      </c>
      <c r="AY8" s="11">
        <v>49</v>
      </c>
      <c r="AZ8" s="11">
        <v>50</v>
      </c>
      <c r="BA8" s="11">
        <v>51</v>
      </c>
      <c r="BB8" s="11">
        <v>52</v>
      </c>
      <c r="BC8" s="11">
        <v>53</v>
      </c>
      <c r="BD8" s="11">
        <v>54</v>
      </c>
      <c r="BE8" s="11">
        <v>55</v>
      </c>
      <c r="BF8" s="11">
        <v>56</v>
      </c>
      <c r="BG8" s="11">
        <v>57</v>
      </c>
      <c r="BH8" s="11">
        <v>58</v>
      </c>
      <c r="BI8" s="11">
        <v>59</v>
      </c>
      <c r="BJ8" s="11">
        <v>60</v>
      </c>
    </row>
    <row r="9" spans="1:62" ht="15.75" customHeight="1">
      <c r="A9" s="47" t="s">
        <v>19</v>
      </c>
      <c r="B9" s="47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 customHeight="1">
      <c r="A10" s="13" t="s">
        <v>20</v>
      </c>
      <c r="B10" s="14" t="s">
        <v>21</v>
      </c>
      <c r="C10" s="42" t="s">
        <v>89</v>
      </c>
      <c r="D10" s="42" t="s">
        <v>89</v>
      </c>
      <c r="E10" s="42" t="s">
        <v>89</v>
      </c>
      <c r="F10" s="42" t="s">
        <v>89</v>
      </c>
      <c r="G10" s="42" t="s">
        <v>89</v>
      </c>
      <c r="H10" s="42" t="s">
        <v>89</v>
      </c>
      <c r="I10" s="42" t="s">
        <v>89</v>
      </c>
      <c r="J10" s="42" t="s">
        <v>89</v>
      </c>
      <c r="K10" s="42" t="s">
        <v>89</v>
      </c>
      <c r="L10" s="42" t="s">
        <v>89</v>
      </c>
      <c r="M10" s="42" t="s">
        <v>89</v>
      </c>
      <c r="N10" s="42" t="s">
        <v>89</v>
      </c>
      <c r="O10" s="15">
        <f>SUM(C10:N10)</f>
        <v>0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 spans="1:62" ht="15.75" customHeight="1">
      <c r="A11" s="13" t="s">
        <v>22</v>
      </c>
      <c r="B11" s="14" t="s">
        <v>23</v>
      </c>
      <c r="C11" s="42"/>
      <c r="D11" s="42" t="s">
        <v>88</v>
      </c>
      <c r="E11" s="42" t="s">
        <v>88</v>
      </c>
      <c r="F11" s="42" t="s">
        <v>88</v>
      </c>
      <c r="G11" s="42" t="s">
        <v>88</v>
      </c>
      <c r="H11" s="42" t="s">
        <v>88</v>
      </c>
      <c r="I11" s="42" t="s">
        <v>88</v>
      </c>
      <c r="J11" s="42" t="s">
        <v>88</v>
      </c>
      <c r="K11" s="42" t="s">
        <v>88</v>
      </c>
      <c r="L11" s="42" t="s">
        <v>88</v>
      </c>
      <c r="M11" s="42" t="s">
        <v>88</v>
      </c>
      <c r="N11" s="42" t="s">
        <v>88</v>
      </c>
      <c r="O11" s="15">
        <f>SUM(C11:N11)</f>
        <v>0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 spans="1:62" ht="15.75" customHeight="1">
      <c r="A12" s="13" t="s">
        <v>24</v>
      </c>
      <c r="B12" s="14" t="s">
        <v>25</v>
      </c>
      <c r="C12" s="42">
        <v>1553</v>
      </c>
      <c r="D12" s="42">
        <v>1553</v>
      </c>
      <c r="E12" s="42">
        <v>1553</v>
      </c>
      <c r="F12" s="42">
        <v>1553</v>
      </c>
      <c r="G12" s="42">
        <v>1553</v>
      </c>
      <c r="H12" s="42">
        <v>1553</v>
      </c>
      <c r="I12" s="42">
        <v>1553</v>
      </c>
      <c r="J12" s="42">
        <v>1553</v>
      </c>
      <c r="K12" s="42"/>
      <c r="L12" s="42"/>
      <c r="M12" s="42"/>
      <c r="N12" s="42"/>
      <c r="O12" s="15">
        <f>SUM(C12:N12)</f>
        <v>12424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 spans="1:62" ht="15.75" customHeight="1">
      <c r="A13" s="47" t="s">
        <v>26</v>
      </c>
      <c r="B13" s="47"/>
      <c r="C13" s="43">
        <v>1553</v>
      </c>
      <c r="D13" s="43" t="s">
        <v>90</v>
      </c>
      <c r="E13" s="43">
        <v>1600</v>
      </c>
      <c r="F13" s="43">
        <v>1600</v>
      </c>
      <c r="G13" s="43" t="s">
        <v>90</v>
      </c>
      <c r="H13" s="43" t="s">
        <v>90</v>
      </c>
      <c r="I13" s="43" t="s">
        <v>90</v>
      </c>
      <c r="J13" s="43" t="s">
        <v>90</v>
      </c>
      <c r="K13" s="43">
        <v>1553</v>
      </c>
      <c r="L13" s="43"/>
      <c r="M13" s="43"/>
      <c r="N13" s="43"/>
      <c r="O13" s="17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 spans="1:62" ht="15.75" customHeight="1">
      <c r="A14" s="13" t="s">
        <v>27</v>
      </c>
      <c r="B14" s="14" t="s">
        <v>28</v>
      </c>
      <c r="C14" s="42" t="s">
        <v>89</v>
      </c>
      <c r="D14" s="42" t="s">
        <v>89</v>
      </c>
      <c r="E14" s="42" t="s">
        <v>89</v>
      </c>
      <c r="F14" s="42">
        <v>1553</v>
      </c>
      <c r="G14" s="42" t="s">
        <v>89</v>
      </c>
      <c r="H14" s="42" t="s">
        <v>89</v>
      </c>
      <c r="I14" s="42" t="s">
        <v>89</v>
      </c>
      <c r="J14" s="42">
        <v>1553</v>
      </c>
      <c r="K14" s="42" t="s">
        <v>89</v>
      </c>
      <c r="L14" s="42" t="s">
        <v>89</v>
      </c>
      <c r="M14" s="42" t="s">
        <v>89</v>
      </c>
      <c r="N14" s="42" t="s">
        <v>89</v>
      </c>
      <c r="O14" s="15">
        <f>SUM(C14:N14)</f>
        <v>3106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 spans="1:62" ht="15.75" customHeight="1">
      <c r="A15" s="13" t="s">
        <v>29</v>
      </c>
      <c r="B15" s="14" t="s">
        <v>30</v>
      </c>
      <c r="C15" s="42">
        <f>15528-1553</f>
        <v>13975</v>
      </c>
      <c r="D15" s="42" t="s">
        <v>88</v>
      </c>
      <c r="E15" s="42" t="s">
        <v>88</v>
      </c>
      <c r="F15" s="42" t="s">
        <v>88</v>
      </c>
      <c r="G15" s="42" t="s">
        <v>88</v>
      </c>
      <c r="H15" s="42" t="s">
        <v>88</v>
      </c>
      <c r="I15" s="42" t="s">
        <v>88</v>
      </c>
      <c r="J15" s="42" t="s">
        <v>88</v>
      </c>
      <c r="K15" s="42" t="s">
        <v>88</v>
      </c>
      <c r="L15" s="42" t="s">
        <v>88</v>
      </c>
      <c r="M15" s="42" t="s">
        <v>88</v>
      </c>
      <c r="N15" s="42" t="s">
        <v>88</v>
      </c>
      <c r="O15" s="15">
        <f>SUM(C15:N15)</f>
        <v>13975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 spans="1:62" ht="15.75" customHeight="1">
      <c r="A16" s="13" t="s">
        <v>31</v>
      </c>
      <c r="B16" s="14" t="s">
        <v>32</v>
      </c>
      <c r="C16" s="42" t="s">
        <v>88</v>
      </c>
      <c r="D16" s="42"/>
      <c r="E16" s="42"/>
      <c r="F16" s="42" t="s">
        <v>88</v>
      </c>
      <c r="G16" s="42" t="s">
        <v>88</v>
      </c>
      <c r="H16" s="42" t="s">
        <v>88</v>
      </c>
      <c r="I16" s="42" t="s">
        <v>88</v>
      </c>
      <c r="J16" s="42"/>
      <c r="K16" s="42" t="s">
        <v>88</v>
      </c>
      <c r="L16" s="42" t="s">
        <v>88</v>
      </c>
      <c r="M16" s="42" t="s">
        <v>88</v>
      </c>
      <c r="N16" s="42" t="s">
        <v>88</v>
      </c>
      <c r="O16" s="15">
        <f>SUM(C16:N16)</f>
        <v>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 spans="1:62" ht="15.75" customHeight="1">
      <c r="A17" s="13" t="s">
        <v>33</v>
      </c>
      <c r="B17" s="14" t="s">
        <v>34</v>
      </c>
      <c r="C17" s="42" t="s">
        <v>88</v>
      </c>
      <c r="D17" s="42" t="s">
        <v>88</v>
      </c>
      <c r="E17" s="42" t="s">
        <v>88</v>
      </c>
      <c r="F17" s="42">
        <v>21739</v>
      </c>
      <c r="G17" s="42"/>
      <c r="H17" s="42">
        <v>21739</v>
      </c>
      <c r="I17" s="42">
        <v>21739</v>
      </c>
      <c r="J17" s="42">
        <v>21739</v>
      </c>
      <c r="K17" s="42">
        <v>21739</v>
      </c>
      <c r="L17" s="42" t="s">
        <v>88</v>
      </c>
      <c r="M17" s="42" t="s">
        <v>88</v>
      </c>
      <c r="N17" s="42" t="s">
        <v>88</v>
      </c>
      <c r="O17" s="15">
        <f>SUM(C17:N17)</f>
        <v>108695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 spans="1:62" ht="15.75" customHeight="1">
      <c r="A18" s="13" t="s">
        <v>35</v>
      </c>
      <c r="B18" s="14" t="s">
        <v>36</v>
      </c>
      <c r="C18" s="42" t="s">
        <v>89</v>
      </c>
      <c r="D18" s="42" t="s">
        <v>89</v>
      </c>
      <c r="E18" s="42" t="s">
        <v>89</v>
      </c>
      <c r="F18" s="42" t="s">
        <v>89</v>
      </c>
      <c r="G18" s="42" t="s">
        <v>89</v>
      </c>
      <c r="H18" s="42" t="s">
        <v>89</v>
      </c>
      <c r="I18" s="42" t="s">
        <v>89</v>
      </c>
      <c r="J18" s="42" t="s">
        <v>89</v>
      </c>
      <c r="K18" s="42" t="s">
        <v>89</v>
      </c>
      <c r="L18" s="42" t="s">
        <v>89</v>
      </c>
      <c r="M18" s="42" t="s">
        <v>89</v>
      </c>
      <c r="N18" s="42" t="s">
        <v>89</v>
      </c>
      <c r="O18" s="15">
        <f t="shared" ref="O18:O38" si="0">SUM(C18:N18)</f>
        <v>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 spans="1:62" ht="15.75" customHeight="1">
      <c r="A19" s="47" t="s">
        <v>37</v>
      </c>
      <c r="B19" s="47"/>
      <c r="C19" s="43" t="s">
        <v>88</v>
      </c>
      <c r="D19" s="43" t="s">
        <v>88</v>
      </c>
      <c r="E19" s="43" t="s">
        <v>88</v>
      </c>
      <c r="F19" s="43" t="s">
        <v>88</v>
      </c>
      <c r="G19" s="43">
        <v>21739</v>
      </c>
      <c r="H19" s="43" t="s">
        <v>88</v>
      </c>
      <c r="I19" s="43" t="s">
        <v>88</v>
      </c>
      <c r="J19" s="43" t="s">
        <v>88</v>
      </c>
      <c r="K19" s="43" t="s">
        <v>88</v>
      </c>
      <c r="L19" s="43" t="s">
        <v>88</v>
      </c>
      <c r="M19" s="43" t="s">
        <v>88</v>
      </c>
      <c r="N19" s="43" t="s">
        <v>88</v>
      </c>
      <c r="O19" s="15">
        <f t="shared" si="0"/>
        <v>21739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 spans="1:62" ht="15.75" customHeight="1">
      <c r="A20" s="13" t="s">
        <v>38</v>
      </c>
      <c r="B20" s="14" t="s">
        <v>39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>
        <v>15528</v>
      </c>
      <c r="I20" s="42" t="s">
        <v>88</v>
      </c>
      <c r="J20" s="42" t="s">
        <v>88</v>
      </c>
      <c r="K20" s="42" t="s">
        <v>88</v>
      </c>
      <c r="L20" s="42" t="s">
        <v>88</v>
      </c>
      <c r="M20" s="42" t="s">
        <v>88</v>
      </c>
      <c r="N20" s="42" t="s">
        <v>88</v>
      </c>
      <c r="O20" s="15">
        <f t="shared" si="0"/>
        <v>15528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 spans="1:62" ht="15.75" customHeight="1">
      <c r="A21" s="13" t="s">
        <v>40</v>
      </c>
      <c r="B21" s="14" t="s">
        <v>41</v>
      </c>
      <c r="C21" s="42" t="s">
        <v>88</v>
      </c>
      <c r="D21" s="42" t="s">
        <v>88</v>
      </c>
      <c r="E21" s="42" t="s">
        <v>88</v>
      </c>
      <c r="F21" s="42" t="s">
        <v>88</v>
      </c>
      <c r="G21" s="42" t="s">
        <v>88</v>
      </c>
      <c r="H21" s="42" t="s">
        <v>88</v>
      </c>
      <c r="I21" s="42">
        <v>15528</v>
      </c>
      <c r="J21" s="42" t="s">
        <v>88</v>
      </c>
      <c r="K21" s="42" t="s">
        <v>88</v>
      </c>
      <c r="L21" s="42" t="s">
        <v>88</v>
      </c>
      <c r="M21" s="42" t="s">
        <v>88</v>
      </c>
      <c r="N21" s="42" t="s">
        <v>88</v>
      </c>
      <c r="O21" s="15">
        <f t="shared" si="0"/>
        <v>15528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 spans="1:62" ht="15.75" customHeight="1">
      <c r="A22" s="18" t="s">
        <v>42</v>
      </c>
      <c r="B22" s="19" t="s">
        <v>43</v>
      </c>
      <c r="C22" s="44" t="s">
        <v>88</v>
      </c>
      <c r="D22" s="44" t="s">
        <v>88</v>
      </c>
      <c r="E22" s="44" t="s">
        <v>88</v>
      </c>
      <c r="F22" s="44" t="s">
        <v>88</v>
      </c>
      <c r="G22" s="45" t="s">
        <v>88</v>
      </c>
      <c r="H22" s="45" t="s">
        <v>88</v>
      </c>
      <c r="I22" s="46" t="s">
        <v>88</v>
      </c>
      <c r="J22" s="44">
        <v>15528</v>
      </c>
      <c r="K22" s="44" t="s">
        <v>88</v>
      </c>
      <c r="L22" s="44" t="s">
        <v>88</v>
      </c>
      <c r="M22" s="44" t="s">
        <v>88</v>
      </c>
      <c r="N22" s="44" t="s">
        <v>88</v>
      </c>
      <c r="O22" s="15">
        <f t="shared" si="0"/>
        <v>15528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</row>
    <row r="23" spans="1:62" ht="15.75" customHeight="1">
      <c r="A23" s="13" t="s">
        <v>44</v>
      </c>
      <c r="B23" s="14" t="s">
        <v>45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42" t="s">
        <v>88</v>
      </c>
      <c r="K23" s="42">
        <v>9317</v>
      </c>
      <c r="L23" s="42" t="s">
        <v>88</v>
      </c>
      <c r="M23" s="42" t="s">
        <v>88</v>
      </c>
      <c r="N23" s="42" t="s">
        <v>88</v>
      </c>
      <c r="O23" s="15">
        <f t="shared" si="0"/>
        <v>9317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 spans="1:62" ht="15.75" customHeight="1">
      <c r="A24" s="13" t="s">
        <v>46</v>
      </c>
      <c r="B24" s="14" t="s">
        <v>47</v>
      </c>
      <c r="C24" s="42" t="s">
        <v>89</v>
      </c>
      <c r="D24" s="42" t="s">
        <v>89</v>
      </c>
      <c r="E24" s="42" t="s">
        <v>89</v>
      </c>
      <c r="F24" s="42" t="s">
        <v>89</v>
      </c>
      <c r="G24" s="42" t="s">
        <v>89</v>
      </c>
      <c r="H24" s="42" t="s">
        <v>89</v>
      </c>
      <c r="I24" s="42" t="s">
        <v>89</v>
      </c>
      <c r="J24" s="42" t="s">
        <v>89</v>
      </c>
      <c r="K24" s="42" t="s">
        <v>89</v>
      </c>
      <c r="L24" s="42" t="s">
        <v>89</v>
      </c>
      <c r="M24" s="42" t="s">
        <v>89</v>
      </c>
      <c r="N24" s="42" t="s">
        <v>89</v>
      </c>
      <c r="O24" s="15">
        <f t="shared" si="0"/>
        <v>0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  <row r="25" spans="1:62" ht="15.75" customHeight="1">
      <c r="A25" s="47" t="s">
        <v>48</v>
      </c>
      <c r="B25" s="47"/>
      <c r="C25" s="43" t="s">
        <v>88</v>
      </c>
      <c r="D25" s="43" t="s">
        <v>88</v>
      </c>
      <c r="E25" s="43" t="s">
        <v>88</v>
      </c>
      <c r="F25" s="43" t="s">
        <v>88</v>
      </c>
      <c r="G25" s="43" t="s">
        <v>88</v>
      </c>
      <c r="H25" s="43" t="s">
        <v>88</v>
      </c>
      <c r="I25" s="43" t="s">
        <v>88</v>
      </c>
      <c r="J25" s="43" t="s">
        <v>88</v>
      </c>
      <c r="K25" s="43" t="s">
        <v>88</v>
      </c>
      <c r="L25" s="43"/>
      <c r="M25" s="43" t="s">
        <v>88</v>
      </c>
      <c r="N25" s="43" t="s">
        <v>88</v>
      </c>
      <c r="O25" s="15">
        <f t="shared" si="0"/>
        <v>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</row>
    <row r="26" spans="1:62" ht="15.75" customHeight="1">
      <c r="A26" s="13" t="s">
        <v>49</v>
      </c>
      <c r="B26" s="14" t="s">
        <v>50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42" t="s">
        <v>88</v>
      </c>
      <c r="I26" s="42" t="s">
        <v>88</v>
      </c>
      <c r="J26" s="42" t="s">
        <v>88</v>
      </c>
      <c r="K26" s="42" t="s">
        <v>88</v>
      </c>
      <c r="L26" s="42">
        <v>15528</v>
      </c>
      <c r="M26" s="42" t="s">
        <v>88</v>
      </c>
      <c r="N26" s="42" t="s">
        <v>88</v>
      </c>
      <c r="O26" s="15">
        <f t="shared" si="0"/>
        <v>15528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</row>
    <row r="27" spans="1:62" ht="15.75" customHeight="1">
      <c r="A27" s="13" t="s">
        <v>51</v>
      </c>
      <c r="B27" s="14" t="s">
        <v>52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 t="s">
        <v>88</v>
      </c>
      <c r="K27" s="42" t="s">
        <v>88</v>
      </c>
      <c r="L27" s="42" t="s">
        <v>88</v>
      </c>
      <c r="M27" s="42"/>
      <c r="N27" s="42" t="s">
        <v>88</v>
      </c>
      <c r="O27" s="15">
        <f t="shared" si="0"/>
        <v>0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</row>
    <row r="28" spans="1:62" ht="15.75" customHeight="1">
      <c r="A28" s="13" t="s">
        <v>53</v>
      </c>
      <c r="B28" s="14" t="s">
        <v>54</v>
      </c>
      <c r="C28" s="42" t="s">
        <v>89</v>
      </c>
      <c r="D28" s="42" t="s">
        <v>89</v>
      </c>
      <c r="E28" s="42" t="s">
        <v>89</v>
      </c>
      <c r="F28" s="42" t="s">
        <v>89</v>
      </c>
      <c r="G28" s="42" t="s">
        <v>89</v>
      </c>
      <c r="H28" s="42" t="s">
        <v>89</v>
      </c>
      <c r="I28" s="42" t="s">
        <v>89</v>
      </c>
      <c r="J28" s="42" t="s">
        <v>89</v>
      </c>
      <c r="K28" s="42" t="s">
        <v>89</v>
      </c>
      <c r="L28" s="42" t="s">
        <v>89</v>
      </c>
      <c r="M28" s="42" t="s">
        <v>89</v>
      </c>
      <c r="N28" s="42" t="s">
        <v>89</v>
      </c>
      <c r="O28" s="15">
        <f t="shared" si="0"/>
        <v>0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</row>
    <row r="29" spans="1:62" ht="15.75" customHeight="1">
      <c r="A29" s="47" t="s">
        <v>55</v>
      </c>
      <c r="B29" s="47"/>
      <c r="C29" s="43" t="s">
        <v>88</v>
      </c>
      <c r="D29" s="43" t="s">
        <v>88</v>
      </c>
      <c r="E29" s="43" t="s">
        <v>88</v>
      </c>
      <c r="F29" s="43" t="s">
        <v>88</v>
      </c>
      <c r="G29" s="43" t="s">
        <v>88</v>
      </c>
      <c r="H29" s="43" t="s">
        <v>88</v>
      </c>
      <c r="I29" s="43" t="s">
        <v>88</v>
      </c>
      <c r="J29" s="43" t="s">
        <v>88</v>
      </c>
      <c r="K29" s="43" t="s">
        <v>88</v>
      </c>
      <c r="L29" s="43"/>
      <c r="M29" s="43"/>
      <c r="N29" s="43" t="s">
        <v>88</v>
      </c>
      <c r="O29" s="15">
        <f t="shared" si="0"/>
        <v>0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</row>
    <row r="30" spans="1:62" ht="15.75" customHeight="1">
      <c r="A30" s="13" t="s">
        <v>56</v>
      </c>
      <c r="B30" s="14" t="s">
        <v>57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42" t="s">
        <v>88</v>
      </c>
      <c r="K30" s="42" t="s">
        <v>88</v>
      </c>
      <c r="L30" s="42">
        <v>12422</v>
      </c>
      <c r="M30" s="42"/>
      <c r="N30" s="42"/>
      <c r="O30" s="15">
        <f t="shared" si="0"/>
        <v>12422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</row>
    <row r="31" spans="1:62" ht="15.75" customHeight="1">
      <c r="A31" s="13" t="s">
        <v>58</v>
      </c>
      <c r="B31" s="14" t="s">
        <v>59</v>
      </c>
      <c r="C31" s="42" t="s">
        <v>88</v>
      </c>
      <c r="D31" s="42" t="s">
        <v>88</v>
      </c>
      <c r="E31" s="42" t="s">
        <v>88</v>
      </c>
      <c r="F31" s="42" t="s">
        <v>88</v>
      </c>
      <c r="G31" s="42" t="s">
        <v>88</v>
      </c>
      <c r="H31" s="42" t="s">
        <v>88</v>
      </c>
      <c r="I31" s="42" t="s">
        <v>88</v>
      </c>
      <c r="J31" s="42" t="s">
        <v>88</v>
      </c>
      <c r="K31" s="42" t="s">
        <v>88</v>
      </c>
      <c r="L31" s="42" t="s">
        <v>88</v>
      </c>
      <c r="M31" s="42" t="s">
        <v>88</v>
      </c>
      <c r="N31" s="42"/>
      <c r="O31" s="15">
        <f t="shared" si="0"/>
        <v>0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</row>
    <row r="32" spans="1:62" ht="15.75" customHeight="1">
      <c r="A32" s="13" t="s">
        <v>60</v>
      </c>
      <c r="B32" s="14" t="s">
        <v>61</v>
      </c>
      <c r="C32" s="42" t="s">
        <v>88</v>
      </c>
      <c r="D32" s="42" t="s">
        <v>88</v>
      </c>
      <c r="E32" s="42" t="s">
        <v>88</v>
      </c>
      <c r="F32" s="42" t="s">
        <v>88</v>
      </c>
      <c r="G32" s="42" t="s">
        <v>88</v>
      </c>
      <c r="H32" s="42" t="s">
        <v>88</v>
      </c>
      <c r="I32" s="42" t="s">
        <v>88</v>
      </c>
      <c r="J32" s="42" t="s">
        <v>88</v>
      </c>
      <c r="K32" s="42" t="s">
        <v>88</v>
      </c>
      <c r="L32" s="42" t="s">
        <v>88</v>
      </c>
      <c r="M32" s="42"/>
      <c r="N32" s="42" t="s">
        <v>88</v>
      </c>
      <c r="O32" s="15">
        <f t="shared" si="0"/>
        <v>0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</row>
    <row r="33" spans="1:62" ht="15.75" customHeight="1">
      <c r="A33" s="13" t="s">
        <v>62</v>
      </c>
      <c r="B33" s="14" t="s">
        <v>63</v>
      </c>
      <c r="C33" s="42" t="s">
        <v>88</v>
      </c>
      <c r="D33" s="42" t="s">
        <v>88</v>
      </c>
      <c r="E33" s="42" t="s">
        <v>88</v>
      </c>
      <c r="F33" s="42" t="s">
        <v>88</v>
      </c>
      <c r="G33" s="42" t="s">
        <v>88</v>
      </c>
      <c r="H33" s="42" t="s">
        <v>88</v>
      </c>
      <c r="I33" s="42" t="s">
        <v>88</v>
      </c>
      <c r="J33" s="42" t="s">
        <v>88</v>
      </c>
      <c r="K33" s="42" t="s">
        <v>88</v>
      </c>
      <c r="L33" s="42" t="s">
        <v>88</v>
      </c>
      <c r="M33" s="42" t="s">
        <v>88</v>
      </c>
      <c r="N33" s="42"/>
      <c r="O33" s="15">
        <f t="shared" si="0"/>
        <v>0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</row>
    <row r="34" spans="1:62" ht="15.75" customHeight="1">
      <c r="A34" s="13" t="s">
        <v>64</v>
      </c>
      <c r="B34" s="14" t="s">
        <v>65</v>
      </c>
      <c r="C34" s="42" t="s">
        <v>89</v>
      </c>
      <c r="D34" s="42" t="s">
        <v>89</v>
      </c>
      <c r="E34" s="42" t="s">
        <v>89</v>
      </c>
      <c r="F34" s="42" t="s">
        <v>89</v>
      </c>
      <c r="G34" s="42" t="s">
        <v>89</v>
      </c>
      <c r="H34" s="42" t="s">
        <v>89</v>
      </c>
      <c r="I34" s="42" t="s">
        <v>89</v>
      </c>
      <c r="J34" s="42" t="s">
        <v>89</v>
      </c>
      <c r="K34" s="42" t="s">
        <v>89</v>
      </c>
      <c r="L34" s="42" t="s">
        <v>89</v>
      </c>
      <c r="M34" s="42" t="s">
        <v>89</v>
      </c>
      <c r="N34" s="42" t="s">
        <v>89</v>
      </c>
      <c r="O34" s="15">
        <f t="shared" si="0"/>
        <v>0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 spans="1:62" ht="15.75" customHeight="1">
      <c r="A35" s="47" t="s">
        <v>66</v>
      </c>
      <c r="B35" s="47"/>
      <c r="C35" s="43" t="s">
        <v>88</v>
      </c>
      <c r="D35" s="43" t="s">
        <v>88</v>
      </c>
      <c r="E35" s="43" t="s">
        <v>88</v>
      </c>
      <c r="F35" s="43" t="s">
        <v>88</v>
      </c>
      <c r="G35" s="43" t="s">
        <v>88</v>
      </c>
      <c r="H35" s="43" t="s">
        <v>88</v>
      </c>
      <c r="I35" s="43" t="s">
        <v>88</v>
      </c>
      <c r="J35" s="43" t="s">
        <v>88</v>
      </c>
      <c r="K35" s="43" t="s">
        <v>88</v>
      </c>
      <c r="L35" s="43" t="s">
        <v>88</v>
      </c>
      <c r="M35" s="43" t="s">
        <v>88</v>
      </c>
      <c r="N35" s="43"/>
      <c r="O35" s="15">
        <f t="shared" si="0"/>
        <v>0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</row>
    <row r="36" spans="1:62" ht="15.75" customHeight="1">
      <c r="A36" s="13" t="s">
        <v>67</v>
      </c>
      <c r="B36" s="14" t="s">
        <v>68</v>
      </c>
      <c r="C36" s="42" t="s">
        <v>88</v>
      </c>
      <c r="D36" s="42" t="s">
        <v>88</v>
      </c>
      <c r="E36" s="42" t="s">
        <v>88</v>
      </c>
      <c r="F36" s="42" t="s">
        <v>88</v>
      </c>
      <c r="G36" s="42" t="s">
        <v>88</v>
      </c>
      <c r="H36" s="42" t="s">
        <v>88</v>
      </c>
      <c r="I36" s="42" t="s">
        <v>88</v>
      </c>
      <c r="J36" s="42" t="s">
        <v>88</v>
      </c>
      <c r="K36" s="42" t="s">
        <v>88</v>
      </c>
      <c r="L36" s="42" t="s">
        <v>88</v>
      </c>
      <c r="M36" s="42" t="s">
        <v>88</v>
      </c>
      <c r="N36" s="42"/>
      <c r="O36" s="15">
        <f t="shared" si="0"/>
        <v>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</row>
    <row r="37" spans="1:62" ht="15.75" customHeight="1">
      <c r="A37" s="13" t="s">
        <v>69</v>
      </c>
      <c r="B37" s="14" t="s">
        <v>70</v>
      </c>
      <c r="C37" s="42"/>
      <c r="D37" s="42"/>
      <c r="E37" s="42"/>
      <c r="F37" s="42"/>
      <c r="G37" s="42"/>
      <c r="H37" s="42"/>
      <c r="I37" s="42"/>
      <c r="J37" s="42"/>
      <c r="K37" s="42"/>
      <c r="L37" s="42">
        <v>2500</v>
      </c>
      <c r="M37" s="42">
        <v>2500</v>
      </c>
      <c r="N37" s="42">
        <v>2500</v>
      </c>
      <c r="O37" s="15">
        <f t="shared" si="0"/>
        <v>7500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</row>
    <row r="38" spans="1:62" ht="15.75" customHeight="1">
      <c r="A38" s="13" t="s">
        <v>71</v>
      </c>
      <c r="B38" s="14" t="s">
        <v>72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>
        <v>2500</v>
      </c>
      <c r="N38" s="42">
        <v>5000</v>
      </c>
      <c r="O38" s="15">
        <f t="shared" si="0"/>
        <v>7500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</row>
    <row r="39" spans="1:62" ht="15" customHeight="1">
      <c r="A39" s="21"/>
      <c r="B39" s="22"/>
      <c r="C39" s="39"/>
      <c r="D39" s="40"/>
      <c r="E39" s="39"/>
      <c r="F39" s="41"/>
      <c r="G39" s="41"/>
      <c r="H39" s="41"/>
      <c r="I39" s="41"/>
      <c r="J39" s="41"/>
      <c r="K39" s="41"/>
      <c r="L39" s="41"/>
      <c r="M39" s="41"/>
      <c r="N39" s="41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spans="1:62" ht="15" customHeight="1">
      <c r="A40" s="21"/>
      <c r="B40" s="22"/>
      <c r="C40" s="39"/>
      <c r="D40" s="40"/>
      <c r="E40" s="39"/>
      <c r="F40" s="41"/>
      <c r="G40" s="41"/>
      <c r="H40" s="41"/>
      <c r="I40" s="41"/>
      <c r="J40" s="41"/>
      <c r="K40" s="41"/>
      <c r="L40" s="41"/>
      <c r="M40" s="41"/>
      <c r="N40" s="41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spans="1:62" ht="15" customHeight="1">
      <c r="A41" s="21"/>
      <c r="B41" s="22"/>
      <c r="C41" s="39"/>
      <c r="D41" s="40"/>
      <c r="E41" s="39"/>
      <c r="F41" s="41"/>
      <c r="G41" s="41"/>
      <c r="H41" s="41"/>
      <c r="I41" s="41"/>
      <c r="J41" s="41"/>
      <c r="K41" s="41"/>
      <c r="L41" s="41"/>
      <c r="M41" s="41"/>
      <c r="N41" s="4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spans="1:62" ht="15" customHeight="1">
      <c r="A42" s="21"/>
      <c r="B42" s="22"/>
      <c r="C42" s="23"/>
      <c r="D42" s="24"/>
      <c r="E42" s="23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1:62" ht="15" customHeight="1">
      <c r="A43" s="21"/>
      <c r="B43" s="22"/>
      <c r="C43" s="23"/>
      <c r="D43" s="24"/>
      <c r="E43" s="2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spans="1:62" ht="15" customHeight="1">
      <c r="A44" s="21"/>
      <c r="B44" s="22"/>
      <c r="C44" s="23"/>
      <c r="D44" s="24"/>
      <c r="E44" s="23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spans="1:62" ht="15" customHeight="1">
      <c r="A45" s="21"/>
      <c r="B45" s="22"/>
      <c r="C45" s="23"/>
      <c r="D45" s="24"/>
      <c r="E45" s="2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spans="1:62" ht="15" customHeight="1">
      <c r="A46" s="21"/>
      <c r="B46" s="22"/>
      <c r="C46" s="25"/>
      <c r="D46" s="26"/>
      <c r="E46" s="25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</row>
    <row r="47" spans="1:62" ht="15" customHeight="1">
      <c r="A47" s="21"/>
      <c r="B47" s="28"/>
      <c r="C47" s="29"/>
      <c r="D47" s="30"/>
      <c r="E47" s="29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</row>
    <row r="48" spans="1:62">
      <c r="A48" s="48" t="s">
        <v>18</v>
      </c>
      <c r="B48" s="48"/>
      <c r="C48" s="32">
        <f t="shared" ref="C48:N48" si="1">SUM(C9:C47)</f>
        <v>17081</v>
      </c>
      <c r="D48" s="32">
        <f t="shared" si="1"/>
        <v>1553</v>
      </c>
      <c r="E48" s="32">
        <f t="shared" si="1"/>
        <v>3153</v>
      </c>
      <c r="F48" s="32">
        <f t="shared" si="1"/>
        <v>26445</v>
      </c>
      <c r="G48" s="32">
        <f t="shared" si="1"/>
        <v>23292</v>
      </c>
      <c r="H48" s="32">
        <f t="shared" si="1"/>
        <v>38820</v>
      </c>
      <c r="I48" s="32">
        <f t="shared" si="1"/>
        <v>38820</v>
      </c>
      <c r="J48" s="32">
        <f t="shared" si="1"/>
        <v>40373</v>
      </c>
      <c r="K48" s="32">
        <f t="shared" si="1"/>
        <v>32609</v>
      </c>
      <c r="L48" s="32">
        <f t="shared" si="1"/>
        <v>30450</v>
      </c>
      <c r="M48" s="32">
        <f t="shared" si="1"/>
        <v>5000</v>
      </c>
      <c r="N48" s="32">
        <f t="shared" si="1"/>
        <v>7500</v>
      </c>
      <c r="O48" s="32">
        <f>SUM(O9:O47)</f>
        <v>258790</v>
      </c>
      <c r="P48" s="33">
        <f t="shared" ref="P48:BJ48" si="2">SUM(P10:P47)</f>
        <v>0</v>
      </c>
      <c r="Q48" s="33">
        <f t="shared" si="2"/>
        <v>0</v>
      </c>
      <c r="R48" s="33">
        <f t="shared" si="2"/>
        <v>0</v>
      </c>
      <c r="S48" s="33">
        <f t="shared" si="2"/>
        <v>0</v>
      </c>
      <c r="T48" s="33">
        <f t="shared" si="2"/>
        <v>0</v>
      </c>
      <c r="U48" s="33">
        <f t="shared" si="2"/>
        <v>0</v>
      </c>
      <c r="V48" s="33">
        <f t="shared" si="2"/>
        <v>0</v>
      </c>
      <c r="W48" s="33">
        <f t="shared" si="2"/>
        <v>0</v>
      </c>
      <c r="X48" s="33">
        <f t="shared" si="2"/>
        <v>0</v>
      </c>
      <c r="Y48" s="33">
        <f t="shared" si="2"/>
        <v>0</v>
      </c>
      <c r="Z48" s="33">
        <f t="shared" si="2"/>
        <v>0</v>
      </c>
      <c r="AA48" s="33">
        <f t="shared" si="2"/>
        <v>0</v>
      </c>
      <c r="AB48" s="33">
        <f t="shared" si="2"/>
        <v>0</v>
      </c>
      <c r="AC48" s="33">
        <f t="shared" si="2"/>
        <v>0</v>
      </c>
      <c r="AD48" s="33">
        <f t="shared" si="2"/>
        <v>0</v>
      </c>
      <c r="AE48" s="33">
        <f t="shared" si="2"/>
        <v>0</v>
      </c>
      <c r="AF48" s="33">
        <f t="shared" si="2"/>
        <v>0</v>
      </c>
      <c r="AG48" s="33">
        <f t="shared" si="2"/>
        <v>0</v>
      </c>
      <c r="AH48" s="33">
        <f t="shared" si="2"/>
        <v>0</v>
      </c>
      <c r="AI48" s="33">
        <f t="shared" si="2"/>
        <v>0</v>
      </c>
      <c r="AJ48" s="33">
        <f t="shared" si="2"/>
        <v>0</v>
      </c>
      <c r="AK48" s="33">
        <f t="shared" si="2"/>
        <v>0</v>
      </c>
      <c r="AL48" s="33">
        <f t="shared" si="2"/>
        <v>0</v>
      </c>
      <c r="AM48" s="33">
        <f t="shared" si="2"/>
        <v>0</v>
      </c>
      <c r="AN48" s="33">
        <f t="shared" si="2"/>
        <v>0</v>
      </c>
      <c r="AO48" s="33">
        <f t="shared" si="2"/>
        <v>0</v>
      </c>
      <c r="AP48" s="33">
        <f t="shared" si="2"/>
        <v>0</v>
      </c>
      <c r="AQ48" s="33">
        <f t="shared" si="2"/>
        <v>0</v>
      </c>
      <c r="AR48" s="33">
        <f t="shared" si="2"/>
        <v>0</v>
      </c>
      <c r="AS48" s="33">
        <f t="shared" si="2"/>
        <v>0</v>
      </c>
      <c r="AT48" s="33">
        <f t="shared" si="2"/>
        <v>0</v>
      </c>
      <c r="AU48" s="33">
        <f t="shared" si="2"/>
        <v>0</v>
      </c>
      <c r="AV48" s="33">
        <f t="shared" si="2"/>
        <v>0</v>
      </c>
      <c r="AW48" s="33">
        <f t="shared" si="2"/>
        <v>0</v>
      </c>
      <c r="AX48" s="33">
        <f t="shared" si="2"/>
        <v>0</v>
      </c>
      <c r="AY48" s="33">
        <f t="shared" si="2"/>
        <v>0</v>
      </c>
      <c r="AZ48" s="33">
        <f t="shared" si="2"/>
        <v>0</v>
      </c>
      <c r="BA48" s="33">
        <f t="shared" si="2"/>
        <v>0</v>
      </c>
      <c r="BB48" s="33">
        <f t="shared" si="2"/>
        <v>0</v>
      </c>
      <c r="BC48" s="33">
        <f t="shared" si="2"/>
        <v>0</v>
      </c>
      <c r="BD48" s="33">
        <f t="shared" si="2"/>
        <v>0</v>
      </c>
      <c r="BE48" s="33">
        <f t="shared" si="2"/>
        <v>0</v>
      </c>
      <c r="BF48" s="33">
        <f t="shared" si="2"/>
        <v>0</v>
      </c>
      <c r="BG48" s="33">
        <f t="shared" si="2"/>
        <v>0</v>
      </c>
      <c r="BH48" s="33">
        <f t="shared" si="2"/>
        <v>0</v>
      </c>
      <c r="BI48" s="33">
        <f t="shared" si="2"/>
        <v>0</v>
      </c>
      <c r="BJ48" s="33">
        <f t="shared" si="2"/>
        <v>0</v>
      </c>
    </row>
  </sheetData>
  <mergeCells count="10">
    <mergeCell ref="A5:D5"/>
    <mergeCell ref="E5:N5"/>
    <mergeCell ref="A8:B8"/>
    <mergeCell ref="A9:B9"/>
    <mergeCell ref="A13:B13"/>
    <mergeCell ref="A19:B19"/>
    <mergeCell ref="A25:B25"/>
    <mergeCell ref="A29:B29"/>
    <mergeCell ref="A35:B35"/>
    <mergeCell ref="A48:B48"/>
  </mergeCells>
  <phoneticPr fontId="16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50"/>
  <sheetViews>
    <sheetView showGridLines="0" tabSelected="1" topLeftCell="A7" zoomScale="76" zoomScaleNormal="90" workbookViewId="0">
      <selection activeCell="M26" sqref="M26"/>
    </sheetView>
  </sheetViews>
  <sheetFormatPr baseColWidth="10" defaultColWidth="11.44140625" defaultRowHeight="14.4"/>
  <cols>
    <col min="2" max="2" width="3.33203125" customWidth="1"/>
    <col min="3" max="3" width="44.6640625" customWidth="1"/>
    <col min="4" max="4" width="20" customWidth="1"/>
    <col min="5" max="5" width="16.109375" customWidth="1"/>
    <col min="6" max="6" width="17.44140625" customWidth="1"/>
    <col min="7" max="8" width="14.77734375" customWidth="1"/>
    <col min="9" max="9" width="14.44140625" customWidth="1"/>
    <col min="10" max="10" width="16.44140625" customWidth="1"/>
    <col min="11" max="11" width="14.44140625" customWidth="1"/>
    <col min="12" max="12" width="16.44140625" customWidth="1"/>
    <col min="13" max="14" width="15.44140625" customWidth="1"/>
    <col min="15" max="15" width="16.109375" customWidth="1"/>
    <col min="16" max="16" width="3.33203125" customWidth="1"/>
  </cols>
  <sheetData>
    <row r="1" spans="2:19" ht="15.75" customHeight="1"/>
    <row r="2" spans="2:19" ht="15.75" customHeight="1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2:19">
      <c r="B3" s="37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/>
      <c r="P3" s="52"/>
      <c r="Q3" s="52"/>
      <c r="R3" s="52"/>
      <c r="S3" s="52"/>
    </row>
    <row r="4" spans="2:19">
      <c r="B4" s="37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  <c r="P4" s="52"/>
      <c r="Q4" s="52"/>
      <c r="R4" s="52"/>
      <c r="S4" s="52"/>
    </row>
    <row r="5" spans="2:19">
      <c r="B5" s="37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3"/>
      <c r="P5" s="52"/>
      <c r="Q5" s="52"/>
      <c r="R5" s="52"/>
      <c r="S5" s="52"/>
    </row>
    <row r="6" spans="2:19">
      <c r="B6" s="37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3"/>
      <c r="P6" s="52"/>
      <c r="Q6" s="52"/>
      <c r="R6" s="52"/>
      <c r="S6" s="52"/>
    </row>
    <row r="7" spans="2:19" ht="21" customHeight="1">
      <c r="B7" s="37"/>
      <c r="C7" s="64" t="s">
        <v>73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52"/>
      <c r="Q7" s="52"/>
      <c r="R7" s="52"/>
      <c r="S7" s="52"/>
    </row>
    <row r="8" spans="2:19">
      <c r="B8" s="37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3"/>
      <c r="P8" s="52"/>
      <c r="Q8" s="52"/>
      <c r="R8" s="52"/>
      <c r="S8" s="52"/>
    </row>
    <row r="9" spans="2:19">
      <c r="B9" s="37"/>
      <c r="C9" s="65" t="s">
        <v>74</v>
      </c>
      <c r="D9" s="66" t="s">
        <v>2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52"/>
      <c r="Q9" s="52"/>
      <c r="R9" s="52"/>
      <c r="S9" s="52"/>
    </row>
    <row r="10" spans="2:19">
      <c r="B10" s="37"/>
      <c r="C10" s="65" t="s">
        <v>75</v>
      </c>
      <c r="D10" s="67" t="s">
        <v>4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52"/>
      <c r="Q10" s="52"/>
      <c r="R10" s="52"/>
      <c r="S10" s="52"/>
    </row>
    <row r="11" spans="2:19">
      <c r="B11" s="37"/>
      <c r="C11" s="65" t="s">
        <v>76</v>
      </c>
      <c r="D11" s="68" t="s">
        <v>82</v>
      </c>
      <c r="E11" s="68"/>
      <c r="F11" s="65" t="s">
        <v>77</v>
      </c>
      <c r="G11" s="52"/>
      <c r="H11" s="68" t="s">
        <v>83</v>
      </c>
      <c r="I11" s="68"/>
      <c r="J11" s="68"/>
      <c r="K11" s="65" t="s">
        <v>78</v>
      </c>
      <c r="L11" s="52"/>
      <c r="M11" s="68" t="s">
        <v>84</v>
      </c>
      <c r="N11" s="68"/>
      <c r="O11" s="68"/>
      <c r="P11" s="52"/>
      <c r="Q11" s="52"/>
      <c r="R11" s="52"/>
      <c r="S11" s="52"/>
    </row>
    <row r="12" spans="2:19">
      <c r="B12" s="37"/>
      <c r="C12" s="5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6"/>
      <c r="P12" s="52"/>
      <c r="Q12" s="52"/>
      <c r="R12" s="52"/>
      <c r="S12" s="52"/>
    </row>
    <row r="13" spans="2:19">
      <c r="B13" s="37"/>
      <c r="C13" s="57"/>
      <c r="D13" s="69" t="s">
        <v>85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52"/>
      <c r="Q13" s="52"/>
      <c r="R13" s="52"/>
      <c r="S13" s="52"/>
    </row>
    <row r="14" spans="2:19">
      <c r="B14" s="37"/>
      <c r="C14" s="58"/>
      <c r="D14" s="70" t="s">
        <v>6</v>
      </c>
      <c r="E14" s="70" t="s">
        <v>7</v>
      </c>
      <c r="F14" s="70" t="s">
        <v>8</v>
      </c>
      <c r="G14" s="70" t="s">
        <v>9</v>
      </c>
      <c r="H14" s="70" t="s">
        <v>10</v>
      </c>
      <c r="I14" s="70" t="s">
        <v>11</v>
      </c>
      <c r="J14" s="70" t="s">
        <v>12</v>
      </c>
      <c r="K14" s="70" t="s">
        <v>13</v>
      </c>
      <c r="L14" s="70" t="s">
        <v>14</v>
      </c>
      <c r="M14" s="70" t="s">
        <v>15</v>
      </c>
      <c r="N14" s="70" t="s">
        <v>16</v>
      </c>
      <c r="O14" s="70" t="s">
        <v>17</v>
      </c>
      <c r="P14" s="52"/>
      <c r="Q14" s="52"/>
      <c r="R14" s="52"/>
      <c r="S14" s="52"/>
    </row>
    <row r="15" spans="2:19">
      <c r="B15" s="37"/>
      <c r="C15" s="65" t="s">
        <v>79</v>
      </c>
      <c r="D15" s="71">
        <f>'Detalle de Costos'!C48</f>
        <v>17081</v>
      </c>
      <c r="E15" s="71">
        <f>'Detalle de Costos'!D48</f>
        <v>1553</v>
      </c>
      <c r="F15" s="71">
        <f>'Detalle de Costos'!E48</f>
        <v>3153</v>
      </c>
      <c r="G15" s="71">
        <f>'Detalle de Costos'!F48</f>
        <v>26445</v>
      </c>
      <c r="H15" s="71">
        <f>'Detalle de Costos'!G48</f>
        <v>23292</v>
      </c>
      <c r="I15" s="71">
        <f>'Detalle de Costos'!H48</f>
        <v>38820</v>
      </c>
      <c r="J15" s="71">
        <f>'Detalle de Costos'!I48</f>
        <v>38820</v>
      </c>
      <c r="K15" s="71">
        <f>'Detalle de Costos'!J48</f>
        <v>40373</v>
      </c>
      <c r="L15" s="71">
        <f>'Detalle de Costos'!K48</f>
        <v>32609</v>
      </c>
      <c r="M15" s="71">
        <f>'Detalle de Costos'!L48</f>
        <v>30450</v>
      </c>
      <c r="N15" s="71">
        <f>'Detalle de Costos'!M48</f>
        <v>5000</v>
      </c>
      <c r="O15" s="71">
        <f>'Detalle de Costos'!N48</f>
        <v>7500</v>
      </c>
      <c r="P15" s="52"/>
      <c r="Q15" s="52"/>
      <c r="R15" s="52"/>
      <c r="S15" s="52"/>
    </row>
    <row r="16" spans="2:19">
      <c r="B16" s="37"/>
      <c r="C16" s="65" t="s">
        <v>80</v>
      </c>
      <c r="D16" s="72">
        <f>D15</f>
        <v>17081</v>
      </c>
      <c r="E16" s="72">
        <f t="shared" ref="E16:O16" si="0">D16+E15</f>
        <v>18634</v>
      </c>
      <c r="F16" s="72">
        <f t="shared" si="0"/>
        <v>21787</v>
      </c>
      <c r="G16" s="72">
        <f t="shared" si="0"/>
        <v>48232</v>
      </c>
      <c r="H16" s="72">
        <f t="shared" si="0"/>
        <v>71524</v>
      </c>
      <c r="I16" s="72">
        <f t="shared" si="0"/>
        <v>110344</v>
      </c>
      <c r="J16" s="72">
        <f t="shared" si="0"/>
        <v>149164</v>
      </c>
      <c r="K16" s="72">
        <f t="shared" si="0"/>
        <v>189537</v>
      </c>
      <c r="L16" s="72">
        <f t="shared" si="0"/>
        <v>222146</v>
      </c>
      <c r="M16" s="72">
        <f t="shared" si="0"/>
        <v>252596</v>
      </c>
      <c r="N16" s="72">
        <f t="shared" si="0"/>
        <v>257596</v>
      </c>
      <c r="O16" s="72">
        <f t="shared" si="0"/>
        <v>265096</v>
      </c>
      <c r="P16" s="52"/>
      <c r="Q16" s="52"/>
      <c r="R16" s="52"/>
      <c r="S16" s="52"/>
    </row>
    <row r="17" spans="2:19">
      <c r="B17" s="37"/>
      <c r="C17" s="73" t="s">
        <v>86</v>
      </c>
      <c r="D17" s="74">
        <v>4969</v>
      </c>
      <c r="E17" s="74">
        <v>6211</v>
      </c>
      <c r="F17" s="74">
        <v>6211</v>
      </c>
      <c r="G17" s="74">
        <v>6211</v>
      </c>
      <c r="H17" s="74">
        <v>5590</v>
      </c>
      <c r="I17" s="74">
        <v>6832</v>
      </c>
      <c r="J17" s="74">
        <v>7453</v>
      </c>
      <c r="K17" s="74">
        <v>8696</v>
      </c>
      <c r="L17" s="74">
        <v>9317</v>
      </c>
      <c r="M17" s="74">
        <v>9317</v>
      </c>
      <c r="N17" s="74">
        <v>8696</v>
      </c>
      <c r="O17" s="74">
        <v>220497</v>
      </c>
      <c r="P17" s="52"/>
      <c r="Q17" s="52"/>
      <c r="R17" s="52"/>
      <c r="S17" s="52"/>
    </row>
    <row r="18" spans="2:19">
      <c r="B18" s="37"/>
      <c r="C18" s="73" t="s">
        <v>81</v>
      </c>
      <c r="D18" s="75">
        <f>D17</f>
        <v>4969</v>
      </c>
      <c r="E18" s="75">
        <f t="shared" ref="E18:N18" si="1">D18+E17</f>
        <v>11180</v>
      </c>
      <c r="F18" s="75">
        <f t="shared" si="1"/>
        <v>17391</v>
      </c>
      <c r="G18" s="75">
        <f t="shared" si="1"/>
        <v>23602</v>
      </c>
      <c r="H18" s="75">
        <f t="shared" si="1"/>
        <v>29192</v>
      </c>
      <c r="I18" s="75">
        <f t="shared" si="1"/>
        <v>36024</v>
      </c>
      <c r="J18" s="75">
        <f t="shared" si="1"/>
        <v>43477</v>
      </c>
      <c r="K18" s="75">
        <f t="shared" si="1"/>
        <v>52173</v>
      </c>
      <c r="L18" s="75">
        <f t="shared" si="1"/>
        <v>61490</v>
      </c>
      <c r="M18" s="75">
        <f t="shared" si="1"/>
        <v>70807</v>
      </c>
      <c r="N18" s="75">
        <f t="shared" si="1"/>
        <v>79503</v>
      </c>
      <c r="O18" s="75">
        <f>N18+O17</f>
        <v>300000</v>
      </c>
      <c r="P18" s="52"/>
      <c r="Q18" s="52"/>
      <c r="R18" s="52"/>
      <c r="S18" s="52"/>
    </row>
    <row r="19" spans="2:19">
      <c r="B19" s="37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2"/>
      <c r="Q19" s="52"/>
      <c r="R19" s="52"/>
      <c r="S19" s="52"/>
    </row>
    <row r="20" spans="2:19">
      <c r="B20" s="37"/>
      <c r="C20" s="76" t="s">
        <v>87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2"/>
      <c r="Q20" s="52"/>
      <c r="R20" s="52"/>
      <c r="S20" s="52"/>
    </row>
    <row r="21" spans="2:19">
      <c r="B21" s="37"/>
      <c r="C21" s="59"/>
      <c r="D21" s="60"/>
      <c r="E21" s="61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2"/>
      <c r="Q21" s="52"/>
      <c r="R21" s="52"/>
      <c r="S21" s="52"/>
    </row>
    <row r="22" spans="2:19">
      <c r="B22" s="37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2"/>
      <c r="Q22" s="52"/>
      <c r="R22" s="52"/>
      <c r="S22" s="52"/>
    </row>
    <row r="23" spans="2:19">
      <c r="B23" s="37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2"/>
      <c r="Q23" s="52"/>
      <c r="R23" s="52"/>
      <c r="S23" s="52"/>
    </row>
    <row r="24" spans="2:19">
      <c r="B24" s="37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2"/>
      <c r="Q24" s="52"/>
      <c r="R24" s="52"/>
      <c r="S24" s="52"/>
    </row>
    <row r="25" spans="2:19">
      <c r="B25" s="37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2"/>
      <c r="Q25" s="52"/>
      <c r="R25" s="52"/>
      <c r="S25" s="52"/>
    </row>
    <row r="26" spans="2:19">
      <c r="B26" s="37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2"/>
      <c r="Q26" s="52"/>
      <c r="R26" s="52"/>
      <c r="S26" s="52"/>
    </row>
    <row r="27" spans="2:19">
      <c r="B27" s="37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2"/>
      <c r="Q27" s="52"/>
      <c r="R27" s="52"/>
      <c r="S27" s="52"/>
    </row>
    <row r="28" spans="2:19">
      <c r="B28" s="37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2"/>
      <c r="Q28" s="52"/>
      <c r="R28" s="52"/>
      <c r="S28" s="52"/>
    </row>
    <row r="29" spans="2:19">
      <c r="B29" s="37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2"/>
      <c r="Q29" s="52"/>
      <c r="R29" s="52"/>
      <c r="S29" s="52"/>
    </row>
    <row r="30" spans="2:19">
      <c r="B30" s="37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2"/>
      <c r="Q30" s="52"/>
      <c r="R30" s="52"/>
      <c r="S30" s="52"/>
    </row>
    <row r="31" spans="2:19">
      <c r="B31" s="37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2"/>
      <c r="Q31" s="52"/>
      <c r="R31" s="52"/>
      <c r="S31" s="52"/>
    </row>
    <row r="32" spans="2:19">
      <c r="B32" s="37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52"/>
      <c r="Q32" s="52"/>
      <c r="R32" s="52"/>
      <c r="S32" s="52"/>
    </row>
    <row r="33" spans="2:19">
      <c r="B33" s="37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52"/>
      <c r="Q33" s="52"/>
      <c r="R33" s="52"/>
      <c r="S33" s="52"/>
    </row>
    <row r="34" spans="2:19">
      <c r="B34" s="37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3"/>
      <c r="P34" s="52"/>
      <c r="Q34" s="52"/>
      <c r="R34" s="52"/>
      <c r="S34" s="52"/>
    </row>
    <row r="35" spans="2:19">
      <c r="B35" s="37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  <c r="P35" s="52"/>
      <c r="Q35" s="52"/>
      <c r="R35" s="52"/>
      <c r="S35" s="52"/>
    </row>
    <row r="36" spans="2:19">
      <c r="B36" s="37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3"/>
      <c r="P36" s="52"/>
      <c r="Q36" s="52"/>
      <c r="R36" s="52"/>
      <c r="S36" s="52"/>
    </row>
    <row r="37" spans="2:19">
      <c r="B37" s="37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3"/>
      <c r="P37" s="52"/>
      <c r="Q37" s="52"/>
      <c r="R37" s="52"/>
      <c r="S37" s="52"/>
    </row>
    <row r="38" spans="2:19">
      <c r="B38" s="37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3"/>
      <c r="P38" s="52"/>
      <c r="Q38" s="52"/>
      <c r="R38" s="52"/>
      <c r="S38" s="52"/>
    </row>
    <row r="39" spans="2:19">
      <c r="B39" s="37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2"/>
      <c r="Q39" s="52"/>
      <c r="R39" s="52"/>
      <c r="S39" s="52"/>
    </row>
    <row r="40" spans="2:19">
      <c r="B40" s="37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52"/>
      <c r="Q40" s="52"/>
      <c r="R40" s="52"/>
      <c r="S40" s="52"/>
    </row>
    <row r="41" spans="2:19">
      <c r="B41" s="37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3"/>
      <c r="P41" s="52"/>
      <c r="Q41" s="52"/>
      <c r="R41" s="52"/>
      <c r="S41" s="52"/>
    </row>
    <row r="42" spans="2:19">
      <c r="B42" s="37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3"/>
      <c r="P42" s="52"/>
      <c r="Q42" s="52"/>
      <c r="R42" s="52"/>
      <c r="S42" s="52"/>
    </row>
    <row r="43" spans="2:19" ht="15.75" customHeight="1">
      <c r="B43" s="38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52"/>
      <c r="Q43" s="52"/>
      <c r="R43" s="52"/>
      <c r="S43" s="52"/>
    </row>
    <row r="44" spans="2:19" ht="15.75" customHeight="1"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</row>
    <row r="45" spans="2:19"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</row>
    <row r="46" spans="2:19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</row>
    <row r="47" spans="2:19"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</row>
    <row r="48" spans="2:19"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</row>
    <row r="49" spans="3:19"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</row>
    <row r="50" spans="3:19"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</row>
  </sheetData>
  <mergeCells count="7">
    <mergeCell ref="D13:O13"/>
    <mergeCell ref="C7:O7"/>
    <mergeCell ref="D9:O9"/>
    <mergeCell ref="D10:O10"/>
    <mergeCell ref="D11:E11"/>
    <mergeCell ref="H11:J11"/>
    <mergeCell ref="M11:O11"/>
  </mergeCells>
  <pageMargins left="0.7" right="0.7" top="0.75" bottom="0.75" header="0.511811023622047" footer="0.511811023622047"/>
  <pageSetup scale="32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dc:description/>
  <cp:lastModifiedBy>IVONNE ALEJANDRA PALAZUELOS GALVEZ</cp:lastModifiedBy>
  <cp:revision>1</cp:revision>
  <cp:lastPrinted>2012-06-13T17:33:48Z</cp:lastPrinted>
  <dcterms:created xsi:type="dcterms:W3CDTF">2012-05-23T17:29:07Z</dcterms:created>
  <dcterms:modified xsi:type="dcterms:W3CDTF">2026-03-02T05:09:31Z</dcterms:modified>
  <dc:language>en-US</dc:language>
</cp:coreProperties>
</file>