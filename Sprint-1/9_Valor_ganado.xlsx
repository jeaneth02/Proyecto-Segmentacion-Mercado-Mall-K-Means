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anielaaispuro/Library/Containers/com.apple.mail/Data/tmp/com.apple.mail.SavedAttachment-T0x60000102d980.tmp.KePnym/"/>
    </mc:Choice>
  </mc:AlternateContent>
  <xr:revisionPtr revIDLastSave="0" documentId="8_{8626F5EC-6CB5-EF45-9AEC-3417FEC8A6F1}" xr6:coauthVersionLast="47" xr6:coauthVersionMax="47" xr10:uidLastSave="{00000000-0000-0000-0000-000000000000}"/>
  <bookViews>
    <workbookView xWindow="1180" yWindow="500" windowWidth="28900" windowHeight="19200" tabRatio="500" xr2:uid="{00000000-000D-0000-FFFF-FFFF00000000}"/>
  </bookViews>
  <sheets>
    <sheet name="Plantilla EVM" sheetId="1" r:id="rId1"/>
    <sheet name="Ejempl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1" l="1"/>
  <c r="E21" i="2"/>
  <c r="F21" i="2" s="1"/>
  <c r="G21" i="2" s="1"/>
  <c r="H21" i="2" s="1"/>
  <c r="I21" i="2" s="1"/>
  <c r="J21" i="2" s="1"/>
  <c r="D21" i="2"/>
  <c r="E19" i="2"/>
  <c r="F19" i="2" s="1"/>
  <c r="G19" i="2" s="1"/>
  <c r="H19" i="2" s="1"/>
  <c r="I19" i="2" s="1"/>
  <c r="J19" i="2" s="1"/>
  <c r="K19" i="2" s="1"/>
  <c r="L19" i="2" s="1"/>
  <c r="M19" i="2" s="1"/>
  <c r="N19" i="2" s="1"/>
  <c r="O19" i="2" s="1"/>
  <c r="C26" i="2" s="1"/>
  <c r="D19" i="2"/>
  <c r="D25" i="1"/>
  <c r="C31" i="1" s="1"/>
  <c r="O24" i="1"/>
  <c r="N24" i="1"/>
  <c r="M24" i="1"/>
  <c r="L24" i="1"/>
  <c r="K24" i="1"/>
  <c r="J24" i="1"/>
  <c r="I24" i="1"/>
  <c r="H24" i="1"/>
  <c r="G24" i="1"/>
  <c r="F24" i="1"/>
  <c r="D24" i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E22" i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D22" i="1"/>
  <c r="C32" i="1" s="1"/>
  <c r="C34" i="1" s="1"/>
  <c r="E20" i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D20" i="1"/>
  <c r="C33" i="1" s="1"/>
  <c r="J23" i="2" l="1"/>
  <c r="I23" i="2"/>
  <c r="H23" i="2"/>
  <c r="E23" i="2"/>
  <c r="D23" i="2"/>
  <c r="G23" i="2"/>
  <c r="F23" i="2"/>
  <c r="C30" i="1"/>
  <c r="D24" i="2" l="1"/>
  <c r="E24" i="2"/>
  <c r="F24" i="2" s="1"/>
  <c r="G24" i="2" s="1"/>
  <c r="H24" i="2" s="1"/>
  <c r="I24" i="2" s="1"/>
  <c r="J24" i="2" s="1"/>
  <c r="C32" i="2" l="1"/>
  <c r="C30" i="2"/>
  <c r="C29" i="2"/>
  <c r="C31" i="2"/>
  <c r="C33" i="2" s="1"/>
</calcChain>
</file>

<file path=xl/sharedStrings.xml><?xml version="1.0" encoding="utf-8"?>
<sst xmlns="http://schemas.openxmlformats.org/spreadsheetml/2006/main" count="104" uniqueCount="73">
  <si>
    <t>Gestión del Valor Ganado</t>
  </si>
  <si>
    <t>Valor Ganado</t>
  </si>
  <si>
    <t>Proyecto:</t>
  </si>
  <si>
    <t>Segmentación de mercado para Targeting</t>
  </si>
  <si>
    <t>ID:</t>
  </si>
  <si>
    <t>SMT-2026-01</t>
  </si>
  <si>
    <t>Fecha de Inicio</t>
  </si>
  <si>
    <t>16/Feb/2026</t>
  </si>
  <si>
    <t>Fecha Fin:</t>
  </si>
  <si>
    <t>09/May/2026</t>
  </si>
  <si>
    <t>Fecha de Corte:</t>
  </si>
  <si>
    <t>18/Feb/2026</t>
  </si>
  <si>
    <t>2026 – Semanas del Proyecto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</si>
  <si>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</si>
  <si>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</si>
  <si>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</si>
  <si>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</si>
  <si>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</si>
  <si>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</si>
  <si>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</si>
  <si>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</si>
  <si>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</si>
  <si>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</si>
  <si>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</si>
  <si>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</si>
  <si>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Valor Planificado</t>
  </si>
  <si>
    <t>Valor Planificado Acumulado</t>
  </si>
  <si>
    <t>PV</t>
  </si>
  <si>
    <t>Costo Real</t>
  </si>
  <si>
    <t>Costo Real Acumulado</t>
  </si>
  <si>
    <t>AC</t>
  </si>
  <si>
    <t>Porcentaje de avance completado del mes</t>
  </si>
  <si>
    <t>%comp</t>
  </si>
  <si>
    <t xml:space="preserve">Valor ganado del trabajo realizado  </t>
  </si>
  <si>
    <t>Valor ganado del trabajo realizado acumulado</t>
  </si>
  <si>
    <t>EV</t>
  </si>
  <si>
    <t xml:space="preserve"> </t>
  </si>
  <si>
    <t>Costo total prespuestado BAC</t>
  </si>
  <si>
    <t>Indices y variaciones</t>
  </si>
  <si>
    <t>Valor</t>
  </si>
  <si>
    <t>Variación del costo (CV/Cost Variance) [CV=EV-AC]</t>
  </si>
  <si>
    <t>Variación del cronograma (SV/Schedule Variance)                    [SV=EV-PV]</t>
  </si>
  <si>
    <t>Índice de desempeño del costo (CPI/Cost Performance Index) [CPI = EV/AC]</t>
  </si>
  <si>
    <t>Índice de desempeño del cronograma del proyecto (SPI/Schedule Performance Index) [SPI = EV/PV]</t>
  </si>
  <si>
    <t>Estimación a la conclusión (EAC/Estimate at Completion)           [EAC = BAC/CPI]</t>
  </si>
  <si>
    <t>CV negativa, el proyecto está sobre gastado</t>
  </si>
  <si>
    <t>CV positiva, el proyecto ha gastado menos de lo presupuestado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</si>
  <si>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</si>
  <si>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</si>
  <si>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</si>
  <si>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</si>
  <si>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</si>
  <si>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</si>
  <si>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t>Apoyo Educativo</t>
  </si>
  <si>
    <t>HT2011-12</t>
  </si>
  <si>
    <t>Año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</si>
  <si>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</si>
  <si>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</si>
  <si>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</si>
  <si>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</si>
  <si>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</si>
  <si>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</si>
  <si>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</si>
  <si>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</si>
  <si>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</si>
  <si>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</si>
  <si>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</si>
  <si>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</si>
  <si>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[EV= % comp x BAC]</t>
  </si>
  <si>
    <t>Costo total prespuestado (BAC)</t>
  </si>
  <si>
    <t>Variación del cronograma (SV/Schedule Variance)         [SV=EV-PV]</t>
  </si>
  <si>
    <t>Índice de desempeño del costo (CPI/Cost Performance Index)   [CPI = EV/AC]</t>
  </si>
  <si>
    <t>Estimación a la conclusión (EAC/Estimate at Completion)        [EAC = BAC/CPI]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</si>
</sst>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/d/yyyy"/>
    <numFmt numFmtId="165" formatCode="0.0"/>
    <numFmt numFmtId="166" formatCode="_(\$* #,##0.00_);_(\$* \(#,##0.00\);_(\$* \-??_);_(@_)"/>
    <numFmt numFmtId="167" formatCode="_-\$* #,##0_-;&quot;-$&quot;* #,##0_-;_-\$* \-??_-;_-@_-"/>
    <numFmt numFmtId="168" formatCode="0.0%"/>
    <numFmt numFmtId="169" formatCode="0.0000"/>
    <numFmt numFmtId="170" formatCode="#,##0_ ;[Red]\-#,##0\ "/>
    <numFmt numFmtId="171" formatCode="_-* #,##0_-;\-* #,##0_-;_-* \-??_-;_-@_-"/>
  </numFmts>
  <fonts count="13" x14ac:knownFonts="1">
    <font>
      <sz val="11"/>
      <color theme="1"/>
      <name val="Calibri"/>
      <family val="2"/>
      <charset val="1"/>
    </font>
    <font>
      <sz val="10"/>
      <color theme="1"/>
      <name val="Trebuchet MS"/>
      <family val="2"/>
      <charset val="1"/>
    </font>
    <font>
      <b/>
      <sz val="16"/>
      <color theme="1"/>
      <name val="Trebuchet MS"/>
      <family val="2"/>
      <charset val="1"/>
    </font>
    <font>
      <b/>
      <sz val="10"/>
      <color theme="1"/>
      <name val="Trebuchet MS"/>
      <family val="2"/>
      <charset val="1"/>
    </font>
    <font>
      <b/>
      <sz val="10"/>
      <color theme="1"/>
      <name val="Verdana"/>
      <family val="2"/>
      <charset val="1"/>
    </font>
    <font>
      <b/>
      <sz val="16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sz val="8"/>
      <color theme="1"/>
      <name val="Calibri"/>
      <family val="2"/>
      <charset val="1"/>
    </font>
    <font>
      <b/>
      <sz val="9"/>
      <color theme="0"/>
      <name val="Verdana"/>
      <family val="2"/>
      <charset val="1"/>
    </font>
    <font>
      <sz val="9"/>
      <color theme="1"/>
      <name val="Verdana"/>
      <family val="2"/>
      <charset val="1"/>
    </font>
    <font>
      <sz val="12"/>
      <color theme="1"/>
      <name val="Verdana"/>
      <family val="2"/>
      <charset val="1"/>
    </font>
    <font>
      <sz val="10"/>
      <color theme="1"/>
      <name val="Verdana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rgb="FF00376C"/>
        <bgColor rgb="FF1F497D"/>
      </patternFill>
    </fill>
    <fill>
      <patternFill patternType="solid">
        <fgColor theme="9" tint="-0.249977111117893"/>
        <bgColor rgb="FFFF9900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6" fontId="12" fillId="0" borderId="0"/>
    <xf numFmtId="9" fontId="12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 applyProtection="1">
      <alignment horizontal="left" vertical="center"/>
      <protection locked="0"/>
    </xf>
    <xf numFmtId="0" fontId="3" fillId="2" borderId="0" xfId="0" applyFont="1" applyFill="1" applyAlignment="1">
      <alignment vertical="center"/>
    </xf>
    <xf numFmtId="164" fontId="3" fillId="0" borderId="0" xfId="0" applyNumberFormat="1" applyFont="1" applyAlignment="1" applyProtection="1">
      <alignment horizontal="left" vertical="center"/>
      <protection locked="0"/>
    </xf>
    <xf numFmtId="0" fontId="3" fillId="2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4" borderId="5" xfId="0" applyFont="1" applyFill="1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4" borderId="9" xfId="0" applyFont="1" applyFill="1" applyBorder="1" applyAlignment="1">
      <alignment horizontal="right"/>
    </xf>
    <xf numFmtId="164" fontId="0" fillId="0" borderId="10" xfId="0" applyNumberFormat="1" applyBorder="1"/>
    <xf numFmtId="164" fontId="0" fillId="0" borderId="11" xfId="0" applyNumberFormat="1" applyBorder="1"/>
    <xf numFmtId="0" fontId="6" fillId="4" borderId="10" xfId="0" applyFont="1" applyFill="1" applyBorder="1"/>
    <xf numFmtId="0" fontId="6" fillId="4" borderId="11" xfId="0" applyFont="1" applyFill="1" applyBorder="1"/>
    <xf numFmtId="0" fontId="7" fillId="0" borderId="10" xfId="0" applyFont="1" applyBorder="1"/>
    <xf numFmtId="0" fontId="0" fillId="0" borderId="12" xfId="0" applyBorder="1"/>
    <xf numFmtId="0" fontId="0" fillId="0" borderId="11" xfId="0" applyBorder="1"/>
    <xf numFmtId="164" fontId="0" fillId="0" borderId="12" xfId="0" applyNumberFormat="1" applyBorder="1"/>
    <xf numFmtId="164" fontId="0" fillId="0" borderId="13" xfId="0" applyNumberFormat="1" applyBorder="1"/>
    <xf numFmtId="0" fontId="0" fillId="0" borderId="14" xfId="0" applyBorder="1"/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/>
    <xf numFmtId="165" fontId="0" fillId="0" borderId="0" xfId="0" applyNumberFormat="1"/>
    <xf numFmtId="0" fontId="0" fillId="4" borderId="1" xfId="0" applyFill="1" applyBorder="1"/>
    <xf numFmtId="0" fontId="6" fillId="4" borderId="2" xfId="0" applyFont="1" applyFill="1" applyBorder="1"/>
    <xf numFmtId="0" fontId="3" fillId="0" borderId="0" xfId="0" applyFont="1" applyAlignment="1">
      <alignment horizontal="left" vertical="center"/>
    </xf>
    <xf numFmtId="0" fontId="0" fillId="4" borderId="5" xfId="0" applyFill="1" applyBorder="1"/>
    <xf numFmtId="0" fontId="6" fillId="4" borderId="6" xfId="0" applyFont="1" applyFill="1" applyBorder="1"/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0" fillId="0" borderId="17" xfId="0" applyBorder="1"/>
    <xf numFmtId="3" fontId="8" fillId="5" borderId="18" xfId="0" applyNumberFormat="1" applyFont="1" applyFill="1" applyBorder="1" applyAlignment="1">
      <alignment horizontal="center" vertical="top" wrapText="1"/>
    </xf>
    <xf numFmtId="3" fontId="8" fillId="5" borderId="19" xfId="0" applyNumberFormat="1" applyFont="1" applyFill="1" applyBorder="1" applyAlignment="1">
      <alignment horizontal="center" vertical="top" wrapText="1"/>
    </xf>
    <xf numFmtId="3" fontId="8" fillId="5" borderId="20" xfId="0" applyNumberFormat="1" applyFont="1" applyFill="1" applyBorder="1" applyAlignment="1">
      <alignment horizontal="center" vertical="top" wrapText="1"/>
    </xf>
    <xf numFmtId="3" fontId="9" fillId="2" borderId="21" xfId="0" applyNumberFormat="1" applyFont="1" applyFill="1" applyBorder="1" applyAlignment="1" applyProtection="1">
      <alignment horizontal="right" vertical="top" wrapText="1"/>
      <protection locked="0"/>
    </xf>
    <xf numFmtId="3" fontId="9" fillId="2" borderId="22" xfId="0" applyNumberFormat="1" applyFont="1" applyFill="1" applyBorder="1" applyAlignment="1" applyProtection="1">
      <alignment horizontal="right" vertical="top" wrapText="1"/>
      <protection locked="0"/>
    </xf>
    <xf numFmtId="167" fontId="12" fillId="2" borderId="15" xfId="1" applyNumberFormat="1" applyFill="1" applyBorder="1"/>
    <xf numFmtId="167" fontId="12" fillId="2" borderId="23" xfId="1" applyNumberFormat="1" applyFill="1" applyBorder="1"/>
    <xf numFmtId="3" fontId="9" fillId="2" borderId="15" xfId="0" applyNumberFormat="1" applyFont="1" applyFill="1" applyBorder="1" applyAlignment="1" applyProtection="1">
      <alignment horizontal="right" vertical="top" wrapText="1"/>
      <protection locked="0"/>
    </xf>
    <xf numFmtId="3" fontId="9" fillId="2" borderId="16" xfId="0" applyNumberFormat="1" applyFont="1" applyFill="1" applyBorder="1" applyAlignment="1" applyProtection="1">
      <alignment horizontal="right" vertical="top" wrapText="1"/>
      <protection locked="0"/>
    </xf>
    <xf numFmtId="168" fontId="9" fillId="2" borderId="24" xfId="0" applyNumberFormat="1" applyFont="1" applyFill="1" applyBorder="1" applyAlignment="1">
      <alignment horizontal="right" vertical="top" wrapText="1"/>
    </xf>
    <xf numFmtId="3" fontId="9" fillId="2" borderId="15" xfId="0" applyNumberFormat="1" applyFont="1" applyFill="1" applyBorder="1" applyAlignment="1">
      <alignment horizontal="right" vertical="top" wrapText="1"/>
    </xf>
    <xf numFmtId="3" fontId="9" fillId="2" borderId="6" xfId="0" applyNumberFormat="1" applyFont="1" applyFill="1" applyBorder="1" applyAlignment="1">
      <alignment horizontal="right" vertical="top" wrapText="1"/>
    </xf>
    <xf numFmtId="0" fontId="6" fillId="4" borderId="25" xfId="0" applyFont="1" applyFill="1" applyBorder="1" applyAlignment="1">
      <alignment horizontal="center"/>
    </xf>
    <xf numFmtId="0" fontId="10" fillId="0" borderId="0" xfId="0" applyFont="1" applyAlignment="1">
      <alignment horizontal="justify"/>
    </xf>
    <xf numFmtId="0" fontId="6" fillId="4" borderId="18" xfId="0" applyFont="1" applyFill="1" applyBorder="1" applyAlignment="1">
      <alignment horizontal="right"/>
    </xf>
    <xf numFmtId="0" fontId="6" fillId="2" borderId="20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11" fillId="0" borderId="5" xfId="0" applyFont="1" applyBorder="1" applyAlignment="1">
      <alignment vertical="center" wrapText="1"/>
    </xf>
    <xf numFmtId="169" fontId="0" fillId="0" borderId="0" xfId="0" applyNumberFormat="1"/>
    <xf numFmtId="170" fontId="12" fillId="2" borderId="15" xfId="1" applyNumberFormat="1" applyFill="1" applyBorder="1"/>
    <xf numFmtId="2" fontId="9" fillId="0" borderId="16" xfId="0" applyNumberFormat="1" applyFont="1" applyBorder="1" applyAlignment="1">
      <alignment horizontal="right"/>
    </xf>
    <xf numFmtId="0" fontId="11" fillId="0" borderId="9" xfId="0" applyFont="1" applyBorder="1" applyAlignment="1">
      <alignment vertical="center" wrapText="1"/>
    </xf>
    <xf numFmtId="171" fontId="9" fillId="0" borderId="27" xfId="1" applyNumberFormat="1" applyFont="1" applyBorder="1" applyAlignment="1">
      <alignment horizontal="right"/>
    </xf>
    <xf numFmtId="0" fontId="9" fillId="0" borderId="0" xfId="0" applyFont="1" applyAlignment="1">
      <alignment vertical="center"/>
    </xf>
    <xf numFmtId="168" fontId="9" fillId="2" borderId="24" xfId="2" applyNumberFormat="1" applyFont="1" applyFill="1" applyBorder="1" applyAlignment="1">
      <alignment horizontal="right" vertical="top" wrapText="1"/>
    </xf>
    <xf numFmtId="168" fontId="9" fillId="2" borderId="15" xfId="2" applyNumberFormat="1" applyFont="1" applyFill="1" applyBorder="1" applyAlignment="1">
      <alignment horizontal="right" vertical="top" wrapText="1"/>
    </xf>
    <xf numFmtId="168" fontId="9" fillId="2" borderId="6" xfId="2" applyNumberFormat="1" applyFont="1" applyFill="1" applyBorder="1" applyAlignment="1">
      <alignment horizontal="right" vertical="top" wrapText="1"/>
    </xf>
    <xf numFmtId="167" fontId="12" fillId="2" borderId="16" xfId="1" applyNumberFormat="1" applyFill="1" applyBorder="1"/>
    <xf numFmtId="0" fontId="1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/>
    <xf numFmtId="164" fontId="4" fillId="2" borderId="0" xfId="0" applyNumberFormat="1" applyFont="1" applyFill="1" applyAlignment="1" applyProtection="1">
      <alignment horizontal="center" vertical="top" wrapText="1"/>
      <protection locked="0"/>
    </xf>
    <xf numFmtId="0" fontId="6" fillId="4" borderId="4" xfId="0" applyFont="1" applyFill="1" applyBorder="1" applyAlignment="1">
      <alignment horizontal="center"/>
    </xf>
    <xf numFmtId="1" fontId="4" fillId="2" borderId="0" xfId="0" applyNumberFormat="1" applyFont="1" applyFill="1" applyAlignment="1" applyProtection="1">
      <alignment horizontal="center" vertical="top" wrapText="1"/>
      <protection locked="0"/>
    </xf>
    <xf numFmtId="0" fontId="5" fillId="3" borderId="0" xfId="0" applyFont="1" applyFill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27"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-0.24997711111789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E46C0A"/>
      <rgbColor rgb="FF4A7EBB"/>
      <rgbColor rgb="FF969696"/>
      <rgbColor rgb="FF00376C"/>
      <rgbColor rgb="FF00B050"/>
      <rgbColor rgb="FF003300"/>
      <rgbColor rgb="FF333300"/>
      <rgbColor rgb="FF993300"/>
      <rgbColor rgb="FF7030A0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09389999127324"/>
          <c:y val="3.0460415496911801E-2"/>
          <c:w val="0.76306833056985801"/>
          <c:h val="0.87092925322852299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255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'Plantilla EVM'!$D$17:$O$17</c:f>
              <c:strCache>
                <c:ptCount val="12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</c:strCache>
            </c:strRef>
          </c:cat>
          <c:val>
            <c:numRef>
              <c:f>'Plantilla EVM'!$D$20:$O$20</c:f>
              <c:numCache>
                <c:formatCode>_-\$* #,##0_-;"-$"* #,##0_-;_-\$* \-??_-;_-@_-</c:formatCode>
                <c:ptCount val="12"/>
                <c:pt idx="0">
                  <c:v>25467</c:v>
                </c:pt>
                <c:pt idx="1">
                  <c:v>47207</c:v>
                </c:pt>
                <c:pt idx="2">
                  <c:v>72053</c:v>
                </c:pt>
                <c:pt idx="3">
                  <c:v>91930</c:v>
                </c:pt>
                <c:pt idx="4">
                  <c:v>112428</c:v>
                </c:pt>
                <c:pt idx="5">
                  <c:v>138515</c:v>
                </c:pt>
                <c:pt idx="6">
                  <c:v>157771</c:v>
                </c:pt>
                <c:pt idx="7">
                  <c:v>180753</c:v>
                </c:pt>
                <c:pt idx="8">
                  <c:v>214917</c:v>
                </c:pt>
                <c:pt idx="9">
                  <c:v>249700</c:v>
                </c:pt>
                <c:pt idx="10">
                  <c:v>296286</c:v>
                </c:pt>
                <c:pt idx="11">
                  <c:v>337281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2-3249-B397-8CAB8E25CD4D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255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'Plantilla EVM'!$D$17:$O$17</c:f>
              <c:strCache>
                <c:ptCount val="12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</c:strCache>
            </c:strRef>
          </c:cat>
          <c:val>
            <c:numRef>
              <c:f>'Plantilla EVM'!$D$22:$O$22</c:f>
              <c:numCache>
                <c:formatCode>_-\$* #,##0_-;"-$"* #,##0_-;_-\$* \-??_-;_-@_-</c:formatCode>
                <c:ptCount val="12"/>
                <c:pt idx="0">
                  <c:v>52000</c:v>
                </c:pt>
                <c:pt idx="1">
                  <c:v>52000</c:v>
                </c:pt>
                <c:pt idx="2">
                  <c:v>52000</c:v>
                </c:pt>
                <c:pt idx="3">
                  <c:v>52000</c:v>
                </c:pt>
                <c:pt idx="4">
                  <c:v>52000</c:v>
                </c:pt>
                <c:pt idx="5">
                  <c:v>52000</c:v>
                </c:pt>
                <c:pt idx="6">
                  <c:v>52000</c:v>
                </c:pt>
                <c:pt idx="7">
                  <c:v>52000</c:v>
                </c:pt>
                <c:pt idx="8">
                  <c:v>52000</c:v>
                </c:pt>
                <c:pt idx="9">
                  <c:v>52000</c:v>
                </c:pt>
                <c:pt idx="10">
                  <c:v>52000</c:v>
                </c:pt>
                <c:pt idx="11">
                  <c:v>52000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2-3249-B397-8CAB8E25CD4D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25560">
              <a:solidFill>
                <a:srgbClr val="98B855"/>
              </a:solidFill>
              <a:round/>
            </a:ln>
          </c:spPr>
          <c:marker>
            <c:symbol val="triangle"/>
            <c:size val="5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'Plantilla EVM'!$D$17:$O$17</c:f>
              <c:strCache>
                <c:ptCount val="12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</c:strCache>
            </c:strRef>
          </c:cat>
          <c:val>
            <c:numRef>
              <c:f>'Plantilla EVM'!$D$25:$O$25</c:f>
              <c:numCache>
                <c:formatCode>_-\$* #,##0_-;"-$"* #,##0_-;_-\$* \-??_-;_-@_-</c:formatCode>
                <c:ptCount val="12"/>
                <c:pt idx="0">
                  <c:v>60710.579999999994</c:v>
                </c:pt>
                <c:pt idx="1">
                  <c:v>60710.579999999994</c:v>
                </c:pt>
                <c:pt idx="2">
                  <c:v>60710.579999999994</c:v>
                </c:pt>
                <c:pt idx="3">
                  <c:v>60710.579999999994</c:v>
                </c:pt>
                <c:pt idx="4">
                  <c:v>60710.579999999994</c:v>
                </c:pt>
                <c:pt idx="5">
                  <c:v>60710.579999999994</c:v>
                </c:pt>
                <c:pt idx="6">
                  <c:v>60710.579999999994</c:v>
                </c:pt>
                <c:pt idx="7">
                  <c:v>60710.579999999994</c:v>
                </c:pt>
                <c:pt idx="8">
                  <c:v>60710.579999999994</c:v>
                </c:pt>
                <c:pt idx="9">
                  <c:v>60710.579999999994</c:v>
                </c:pt>
                <c:pt idx="10">
                  <c:v>60710.579999999994</c:v>
                </c:pt>
                <c:pt idx="11">
                  <c:v>60710.579999999994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22-3249-B397-8CAB8E25C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090978"/>
        <c:axId val="78276050"/>
      </c:lineChart>
      <c:catAx>
        <c:axId val="60909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78276050"/>
        <c:crosses val="autoZero"/>
        <c:auto val="1"/>
        <c:lblAlgn val="ctr"/>
        <c:lblOffset val="100"/>
        <c:noMultiLvlLbl val="0"/>
      </c:catAx>
      <c:valAx>
        <c:axId val="78276050"/>
        <c:scaling>
          <c:orientation val="minMax"/>
        </c:scaling>
        <c:delete val="0"/>
        <c:axPos val="l"/>
        <c:numFmt formatCode="_-\$* #,##0_-;&quot;-$&quot;* #,##0_-;_-\$* \-??_-;_-@_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60909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90392287632928903"/>
          <c:y val="0.40323508525919299"/>
          <c:w val="8.5804249437789304E-2"/>
          <c:h val="0.200664444174778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6309779910640395E-2"/>
          <c:y val="3.9598912304554701E-2"/>
          <c:w val="0.76306470296210505"/>
          <c:h val="0.87092114208021798"/>
        </c:manualLayout>
      </c:layout>
      <c:lineChart>
        <c:grouping val="standard"/>
        <c:varyColors val="0"/>
        <c:ser>
          <c:idx val="0"/>
          <c:order val="0"/>
          <c:tx>
            <c:strRef>
              <c:f>Ejemplo!$C$19</c:f>
              <c:strCache>
                <c:ptCount val="1"/>
                <c:pt idx="0">
                  <c:v>PV</c:v>
                </c:pt>
              </c:strCache>
            </c:strRef>
          </c:tx>
          <c:spPr>
            <a:ln w="25560">
              <a:solidFill>
                <a:srgbClr val="1F497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Ejemplo!$D$17:$O$17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Ejemplo!$D$19:$O$19</c:f>
              <c:numCache>
                <c:formatCode>_-\$* #,##0_-;"-$"* #,##0_-;_-\$* \-??_-;_-@_-</c:formatCode>
                <c:ptCount val="12"/>
                <c:pt idx="0">
                  <c:v>20000</c:v>
                </c:pt>
                <c:pt idx="1">
                  <c:v>60000</c:v>
                </c:pt>
                <c:pt idx="2">
                  <c:v>120000</c:v>
                </c:pt>
                <c:pt idx="3">
                  <c:v>200000</c:v>
                </c:pt>
                <c:pt idx="4">
                  <c:v>320000</c:v>
                </c:pt>
                <c:pt idx="5">
                  <c:v>460000</c:v>
                </c:pt>
                <c:pt idx="6">
                  <c:v>620000</c:v>
                </c:pt>
                <c:pt idx="7">
                  <c:v>800000</c:v>
                </c:pt>
                <c:pt idx="8">
                  <c:v>980000</c:v>
                </c:pt>
                <c:pt idx="9">
                  <c:v>1100000</c:v>
                </c:pt>
                <c:pt idx="10">
                  <c:v>1180000</c:v>
                </c:pt>
                <c:pt idx="11">
                  <c:v>1220000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8-C04E-BB2F-12F0C378F417}"/>
            </c:ext>
          </c:extLst>
        </c:ser>
        <c:ser>
          <c:idx val="1"/>
          <c:order val="1"/>
          <c:tx>
            <c:strRef>
              <c:f>Ejemplo!$C$21</c:f>
              <c:strCache>
                <c:ptCount val="1"/>
                <c:pt idx="0">
                  <c:v>AC</c:v>
                </c:pt>
              </c:strCache>
            </c:strRef>
          </c:tx>
          <c:spPr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Ejemplo!$D$17:$O$17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Ejemplo!$D$21:$O$21</c:f>
              <c:numCache>
                <c:formatCode>_-\$* #,##0_-;"-$"* #,##0_-;_-\$* \-??_-;_-@_-</c:formatCode>
                <c:ptCount val="12"/>
                <c:pt idx="0">
                  <c:v>20000</c:v>
                </c:pt>
                <c:pt idx="1">
                  <c:v>40000</c:v>
                </c:pt>
                <c:pt idx="2">
                  <c:v>80000</c:v>
                </c:pt>
                <c:pt idx="3">
                  <c:v>140000</c:v>
                </c:pt>
                <c:pt idx="4">
                  <c:v>220000</c:v>
                </c:pt>
                <c:pt idx="5">
                  <c:v>320000</c:v>
                </c:pt>
                <c:pt idx="6">
                  <c:v>470000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48-C04E-BB2F-12F0C378F417}"/>
            </c:ext>
          </c:extLst>
        </c:ser>
        <c:ser>
          <c:idx val="2"/>
          <c:order val="2"/>
          <c:tx>
            <c:strRef>
              <c:f>Ejemplo!$C$24</c:f>
              <c:strCache>
                <c:ptCount val="1"/>
                <c:pt idx="0">
                  <c:v>EV</c:v>
                </c:pt>
              </c:strCache>
            </c:strRef>
          </c:tx>
          <c:spPr>
            <a:ln w="25560">
              <a:solidFill>
                <a:srgbClr val="7030A0"/>
              </a:solidFill>
              <a:round/>
            </a:ln>
          </c:spPr>
          <c:marker>
            <c:symbol val="triangle"/>
            <c:size val="5"/>
            <c:spPr>
              <a:solidFill>
                <a:srgbClr val="7030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Ejemplo!$D$17:$O$17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Ejemplo!$D$24:$O$24</c:f>
              <c:numCache>
                <c:formatCode>_-\$* #,##0_-;"-$"* #,##0_-;_-\$* \-??_-;_-@_-</c:formatCode>
                <c:ptCount val="12"/>
                <c:pt idx="0">
                  <c:v>18300</c:v>
                </c:pt>
                <c:pt idx="1">
                  <c:v>54900</c:v>
                </c:pt>
                <c:pt idx="2">
                  <c:v>103700</c:v>
                </c:pt>
                <c:pt idx="3">
                  <c:v>176900</c:v>
                </c:pt>
                <c:pt idx="4">
                  <c:v>280600</c:v>
                </c:pt>
                <c:pt idx="5">
                  <c:v>402600</c:v>
                </c:pt>
                <c:pt idx="6">
                  <c:v>549000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48-C04E-BB2F-12F0C378F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089072"/>
        <c:axId val="92272157"/>
      </c:lineChart>
      <c:catAx>
        <c:axId val="5908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92272157"/>
        <c:crosses val="autoZero"/>
        <c:auto val="1"/>
        <c:lblAlgn val="ctr"/>
        <c:lblOffset val="100"/>
        <c:noMultiLvlLbl val="0"/>
      </c:catAx>
      <c:valAx>
        <c:axId val="922721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-\$* #,##0_-;&quot;-$&quot;* #,##0_-;_-\$* \-??_-;_-@_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590890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90392287632928903"/>
          <c:y val="0.40323508525919299"/>
          <c:w val="8.5804249437789304E-2"/>
          <c:h val="0.200664444174778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154800</xdr:colOff>
      <xdr:row>25</xdr:row>
      <xdr:rowOff>154800</xdr:rowOff>
    </xdr:from>
    <xdr:to>
      <xdr:col>14</xdr:col>
      <xdr:colOff>707560</xdr:colOff>
      <xdr:row>47</xdr:row>
      <xdr:rowOff>35280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729720</xdr:colOff>
      <xdr:row>2</xdr:row>
      <xdr:rowOff>73440</xdr:rowOff>
    </xdr:from>
    <xdr:to>
      <xdr:col>1</xdr:col>
      <xdr:colOff>3035520</xdr:colOff>
      <xdr:row>6</xdr:row>
      <xdr:rowOff>133200</xdr:rowOff>
    </xdr:to>
    <xdr:pic>
      <xdr:nvPicPr>
        <xdr:cNvPr id="3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374120" y="473400"/>
          <a:ext cx="2305800" cy="917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117720</xdr:colOff>
      <xdr:row>24</xdr:row>
      <xdr:rowOff>142560</xdr:rowOff>
    </xdr:from>
    <xdr:to>
      <xdr:col>15</xdr:col>
      <xdr:colOff>10080</xdr:colOff>
      <xdr:row>43</xdr:row>
      <xdr:rowOff>159120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729720</xdr:colOff>
      <xdr:row>2</xdr:row>
      <xdr:rowOff>73440</xdr:rowOff>
    </xdr:from>
    <xdr:to>
      <xdr:col>1</xdr:col>
      <xdr:colOff>3035520</xdr:colOff>
      <xdr:row>6</xdr:row>
      <xdr:rowOff>133200</xdr:rowOff>
    </xdr:to>
    <xdr:pic>
      <xdr:nvPicPr>
        <xdr:cNvPr id="3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374120" y="473400"/>
          <a:ext cx="2305800" cy="9266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23" displayName="Table13423" ref="D17:O25" totalsRowShown="0">
  <tableColumns count="12">
    <tableColumn id="1" xr3:uid="{00000000-0010-0000-0000-000001000000}" name="Sem 1"/>
    <tableColumn id="2" xr3:uid="{00000000-0010-0000-0000-000002000000}" name="Sem 2"/>
    <tableColumn id="3" xr3:uid="{00000000-0010-0000-0000-000003000000}" name="Sem 3"/>
    <tableColumn id="4" xr3:uid="{00000000-0010-0000-0000-000004000000}" name="Sem 4"/>
    <tableColumn id="5" xr3:uid="{00000000-0010-0000-0000-000005000000}" name="Sem 5"/>
    <tableColumn id="6" xr3:uid="{00000000-0010-0000-0000-000006000000}" name="Sem 6"/>
    <tableColumn id="7" xr3:uid="{00000000-0010-0000-0000-000007000000}" name="Sem 7"/>
    <tableColumn id="8" xr3:uid="{00000000-0010-0000-0000-000008000000}" name="Sem 8"/>
    <tableColumn id="9" xr3:uid="{00000000-0010-0000-0000-000009000000}" name="Sem 9"/>
    <tableColumn id="10" xr3:uid="{00000000-0010-0000-0000-00000A000000}" name="Sem 10"/>
    <tableColumn id="11" xr3:uid="{00000000-0010-0000-0000-00000B000000}" name="Sem 11"/>
    <tableColumn id="12" xr3:uid="{00000000-0010-0000-0000-00000C000000}" name="Sem 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4235" displayName="Table134235" ref="D17:O24" totalsRowShown="0">
  <tableColumns count="12">
    <tableColumn id="1" xr3:uid="{00000000-0010-0000-0100-000001000000}" name="Mes 1"/>
    <tableColumn id="2" xr3:uid="{00000000-0010-0000-0100-000002000000}" name="Mes 2"/>
    <tableColumn id="3" xr3:uid="{00000000-0010-0000-0100-000003000000}" name="Mes 3"/>
    <tableColumn id="4" xr3:uid="{00000000-0010-0000-0100-000004000000}" name="Mes 4"/>
    <tableColumn id="5" xr3:uid="{00000000-0010-0000-0100-000005000000}" name="Mes 5"/>
    <tableColumn id="6" xr3:uid="{00000000-0010-0000-0100-000006000000}" name="Mes 6"/>
    <tableColumn id="7" xr3:uid="{00000000-0010-0000-0100-000007000000}" name="Mes 7"/>
    <tableColumn id="8" xr3:uid="{00000000-0010-0000-0100-000008000000}" name="Mes 8"/>
    <tableColumn id="9" xr3:uid="{00000000-0010-0000-0100-000009000000}" name="Mes 9"/>
    <tableColumn id="10" xr3:uid="{00000000-0010-0000-0100-00000A000000}" name="Mes 10"/>
    <tableColumn id="11" xr3:uid="{00000000-0010-0000-0100-00000B000000}" name="Mes 11"/>
    <tableColumn id="12" xr3:uid="{00000000-0010-0000-0100-00000C000000}" name="Mes 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zoomScale="125" zoomScaleNormal="100" workbookViewId="0">
      <selection activeCell="E25" sqref="E25"/>
    </sheetView>
  </sheetViews>
  <sheetFormatPr baseColWidth="10" defaultColWidth="9.1640625" defaultRowHeight="15" x14ac:dyDescent="0.2"/>
  <cols>
    <col min="2" max="2" width="60.83203125" customWidth="1"/>
    <col min="3" max="3" width="22.6640625" customWidth="1"/>
    <col min="4" max="7" width="9.33203125" bestFit="1" customWidth="1"/>
    <col min="8" max="11" width="9.6640625" bestFit="1" customWidth="1"/>
    <col min="12" max="12" width="10.5" customWidth="1"/>
    <col min="13" max="13" width="13" customWidth="1"/>
    <col min="14" max="14" width="10.5" customWidth="1"/>
    <col min="15" max="15" width="11.33203125" customWidth="1"/>
    <col min="17" max="17" width="10.33203125" customWidth="1"/>
  </cols>
  <sheetData>
    <row r="1" spans="2:18" ht="15.75" customHeight="1" x14ac:dyDescent="0.2">
      <c r="B1" s="1"/>
      <c r="C1" s="1"/>
      <c r="D1" s="1"/>
      <c r="E1" s="1"/>
      <c r="F1" s="1"/>
      <c r="G1" s="1"/>
      <c r="H1" s="1"/>
      <c r="I1" s="1"/>
      <c r="J1" s="1"/>
      <c r="K1" s="1"/>
    </row>
    <row r="2" spans="2:18" ht="15.75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</row>
    <row r="3" spans="2:18" ht="15.75" customHeight="1" x14ac:dyDescent="0.2">
      <c r="B3" s="1"/>
      <c r="C3" s="1"/>
      <c r="D3" s="1"/>
      <c r="E3" s="1"/>
      <c r="F3" s="1"/>
      <c r="G3" s="1"/>
      <c r="H3" s="1"/>
      <c r="I3" s="1"/>
      <c r="J3" s="1"/>
      <c r="K3" s="1"/>
    </row>
    <row r="4" spans="2:18" ht="21" customHeight="1" x14ac:dyDescent="0.25">
      <c r="B4" s="1"/>
      <c r="C4" s="1"/>
      <c r="D4" s="2" t="s">
        <v>0</v>
      </c>
      <c r="F4" s="1"/>
      <c r="G4" s="1"/>
      <c r="H4" s="1"/>
      <c r="I4" s="1"/>
      <c r="J4" s="1"/>
      <c r="K4" s="1"/>
    </row>
    <row r="5" spans="2:18" ht="15.75" customHeight="1" x14ac:dyDescent="0.2">
      <c r="B5" s="3"/>
      <c r="C5" s="3"/>
      <c r="D5" s="1"/>
      <c r="E5" s="1"/>
      <c r="F5" s="1"/>
      <c r="G5" s="1"/>
      <c r="H5" s="1"/>
      <c r="I5" s="1"/>
      <c r="J5" s="1"/>
      <c r="K5" s="1"/>
    </row>
    <row r="6" spans="2:18" ht="15" customHeight="1" x14ac:dyDescent="0.2">
      <c r="B6" s="1"/>
      <c r="C6" s="1"/>
      <c r="D6" s="1"/>
      <c r="E6" s="1"/>
      <c r="F6" s="1"/>
      <c r="G6" s="1"/>
      <c r="H6" s="1"/>
      <c r="I6" s="1"/>
      <c r="J6" s="1"/>
      <c r="K6" s="4"/>
      <c r="L6" s="5"/>
      <c r="M6" s="5"/>
      <c r="N6" s="74"/>
      <c r="O6" s="74"/>
      <c r="P6" s="4"/>
    </row>
    <row r="7" spans="2:18" ht="16.5" customHeight="1" x14ac:dyDescent="0.2">
      <c r="B7" s="1"/>
      <c r="C7" s="1"/>
      <c r="D7" s="1"/>
      <c r="E7" s="1"/>
      <c r="F7" s="1"/>
      <c r="G7" s="1"/>
      <c r="H7" s="1"/>
      <c r="I7" s="1"/>
      <c r="J7" s="1"/>
      <c r="K7" s="6"/>
      <c r="L7" s="7"/>
      <c r="M7" s="7"/>
      <c r="N7" s="72"/>
      <c r="O7" s="72"/>
      <c r="P7" s="6"/>
    </row>
    <row r="8" spans="2:18" ht="16.5" customHeight="1" x14ac:dyDescent="0.25">
      <c r="B8" s="75" t="s">
        <v>1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6"/>
    </row>
    <row r="9" spans="2:18" ht="16.5" customHeight="1" x14ac:dyDescent="0.2">
      <c r="Q9" s="6"/>
    </row>
    <row r="10" spans="2:18" ht="16.5" customHeight="1" x14ac:dyDescent="0.2">
      <c r="B10" s="8" t="s">
        <v>2</v>
      </c>
      <c r="C10" s="9" t="s">
        <v>3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  <c r="Q10" s="6"/>
    </row>
    <row r="11" spans="2:18" ht="16.5" customHeight="1" x14ac:dyDescent="0.2">
      <c r="B11" s="12" t="s">
        <v>4</v>
      </c>
      <c r="C11" s="13" t="s">
        <v>5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Q11" s="6"/>
    </row>
    <row r="12" spans="2:18" ht="16.5" customHeight="1" x14ac:dyDescent="0.2">
      <c r="B12" s="16" t="s">
        <v>6</v>
      </c>
      <c r="C12" s="17" t="s">
        <v>7</v>
      </c>
      <c r="D12" s="18"/>
      <c r="E12" s="19" t="s">
        <v>8</v>
      </c>
      <c r="F12" s="20"/>
      <c r="G12" s="21" t="s">
        <v>9</v>
      </c>
      <c r="H12" s="22"/>
      <c r="I12" s="23"/>
      <c r="J12" s="19" t="s">
        <v>10</v>
      </c>
      <c r="K12" s="20"/>
      <c r="L12" s="17" t="s">
        <v>11</v>
      </c>
      <c r="M12" s="24"/>
      <c r="N12" s="25"/>
      <c r="O12" s="26"/>
      <c r="P12" s="6"/>
    </row>
    <row r="13" spans="2:18" ht="16.5" customHeight="1" x14ac:dyDescent="0.2"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6"/>
    </row>
    <row r="14" spans="2:18" ht="16.5" customHeight="1" x14ac:dyDescent="0.2">
      <c r="B14" s="1"/>
      <c r="C14" s="1"/>
      <c r="D14" s="1"/>
      <c r="E14" s="1"/>
      <c r="F14" s="1"/>
      <c r="G14" s="1"/>
      <c r="H14" s="1"/>
      <c r="I14" s="1"/>
      <c r="J14" s="1"/>
      <c r="K14" s="6"/>
      <c r="L14" s="7"/>
      <c r="M14" s="29"/>
      <c r="N14" s="72"/>
      <c r="O14" s="72"/>
      <c r="P14" s="6"/>
      <c r="Q14" s="30"/>
    </row>
    <row r="15" spans="2:18" ht="16.5" customHeight="1" x14ac:dyDescent="0.2">
      <c r="B15" s="1"/>
      <c r="C15" s="1"/>
      <c r="D15" s="1"/>
      <c r="E15" s="1"/>
      <c r="F15" s="1"/>
      <c r="G15" s="1"/>
      <c r="H15" s="1"/>
      <c r="I15" s="1"/>
      <c r="J15" s="1"/>
      <c r="K15" s="6"/>
      <c r="L15" s="7"/>
      <c r="M15" s="29"/>
      <c r="N15" s="72"/>
      <c r="O15" s="72"/>
      <c r="P15" s="6"/>
      <c r="Q15" s="30"/>
    </row>
    <row r="16" spans="2:18" ht="16.5" customHeight="1" x14ac:dyDescent="0.2">
      <c r="B16" s="31"/>
      <c r="C16" s="32"/>
      <c r="D16" s="73" t="s">
        <v>12</v>
      </c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33"/>
      <c r="R16" s="30"/>
    </row>
    <row r="17" spans="2:15" ht="15" customHeight="1" x14ac:dyDescent="0.2">
      <c r="B17" s="34"/>
      <c r="C17" s="35"/>
      <c r="D17" s="36" t="s">
        <v>13</v>
      </c>
      <c r="E17" s="36" t="s">
        <v>14</v>
      </c>
      <c r="F17" s="36" t="s">
        <v>15</v>
      </c>
      <c r="G17" s="36" t="s">
        <v>16</v>
      </c>
      <c r="H17" s="36" t="s">
        <v>17</v>
      </c>
      <c r="I17" s="36" t="s">
        <v>18</v>
      </c>
      <c r="J17" s="36" t="s">
        <v>19</v>
      </c>
      <c r="K17" s="36" t="s">
        <v>20</v>
      </c>
      <c r="L17" s="36" t="s">
        <v>21</v>
      </c>
      <c r="M17" s="36" t="s">
        <v>22</v>
      </c>
      <c r="N17" s="36" t="s">
        <v>23</v>
      </c>
      <c r="O17" s="37" t="s">
        <v>24</v>
      </c>
    </row>
    <row r="18" spans="2:15" ht="15.75" hidden="1" customHeight="1" x14ac:dyDescent="0.2">
      <c r="B18" s="38"/>
      <c r="D18" s="39">
        <v>1</v>
      </c>
      <c r="E18" s="40">
        <v>2</v>
      </c>
      <c r="F18" s="40">
        <v>3</v>
      </c>
      <c r="G18" s="40">
        <v>4</v>
      </c>
      <c r="H18" s="40">
        <v>5</v>
      </c>
      <c r="I18" s="40">
        <v>6</v>
      </c>
      <c r="J18" s="40">
        <v>7</v>
      </c>
      <c r="K18" s="40">
        <v>8</v>
      </c>
      <c r="L18" s="40">
        <v>9</v>
      </c>
      <c r="M18" s="40">
        <v>10</v>
      </c>
      <c r="N18" s="40">
        <v>11</v>
      </c>
      <c r="O18" s="41">
        <v>12</v>
      </c>
    </row>
    <row r="19" spans="2:15" ht="15" customHeight="1" x14ac:dyDescent="0.2">
      <c r="B19" s="12" t="s">
        <v>25</v>
      </c>
      <c r="C19" s="36"/>
      <c r="D19" s="42">
        <v>25467</v>
      </c>
      <c r="E19" s="42">
        <v>21740</v>
      </c>
      <c r="F19" s="42">
        <v>24846</v>
      </c>
      <c r="G19" s="42">
        <v>19877</v>
      </c>
      <c r="H19" s="42">
        <v>20498</v>
      </c>
      <c r="I19" s="42">
        <v>26087</v>
      </c>
      <c r="J19" s="42">
        <v>19256</v>
      </c>
      <c r="K19" s="42">
        <v>22982</v>
      </c>
      <c r="L19" s="42">
        <v>34164</v>
      </c>
      <c r="M19" s="42">
        <v>34783</v>
      </c>
      <c r="N19" s="42">
        <v>46586</v>
      </c>
      <c r="O19" s="43">
        <v>40995</v>
      </c>
    </row>
    <row r="20" spans="2:15" ht="15" customHeight="1" x14ac:dyDescent="0.2">
      <c r="B20" s="12" t="s">
        <v>26</v>
      </c>
      <c r="C20" s="36" t="s">
        <v>27</v>
      </c>
      <c r="D20" s="44">
        <f>D19</f>
        <v>25467</v>
      </c>
      <c r="E20" s="44">
        <f>D19+E19</f>
        <v>47207</v>
      </c>
      <c r="F20" s="44">
        <f t="shared" ref="F20:O20" si="0">E20+F19</f>
        <v>72053</v>
      </c>
      <c r="G20" s="44">
        <f t="shared" si="0"/>
        <v>91930</v>
      </c>
      <c r="H20" s="44">
        <f t="shared" si="0"/>
        <v>112428</v>
      </c>
      <c r="I20" s="44">
        <f t="shared" si="0"/>
        <v>138515</v>
      </c>
      <c r="J20" s="44">
        <f t="shared" si="0"/>
        <v>157771</v>
      </c>
      <c r="K20" s="44">
        <f t="shared" si="0"/>
        <v>180753</v>
      </c>
      <c r="L20" s="44">
        <f t="shared" si="0"/>
        <v>214917</v>
      </c>
      <c r="M20" s="44">
        <f t="shared" si="0"/>
        <v>249700</v>
      </c>
      <c r="N20" s="44">
        <f t="shared" si="0"/>
        <v>296286</v>
      </c>
      <c r="O20" s="45">
        <f t="shared" si="0"/>
        <v>337281</v>
      </c>
    </row>
    <row r="21" spans="2:15" ht="15" customHeight="1" x14ac:dyDescent="0.2">
      <c r="B21" s="12" t="s">
        <v>28</v>
      </c>
      <c r="C21" s="36"/>
      <c r="D21" s="46">
        <v>52000</v>
      </c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7"/>
    </row>
    <row r="22" spans="2:15" x14ac:dyDescent="0.2">
      <c r="B22" s="12" t="s">
        <v>29</v>
      </c>
      <c r="C22" s="36" t="s">
        <v>30</v>
      </c>
      <c r="D22" s="44">
        <f>D21</f>
        <v>52000</v>
      </c>
      <c r="E22" s="44">
        <f>D21+E21</f>
        <v>52000</v>
      </c>
      <c r="F22" s="44">
        <f t="shared" ref="F22:O22" si="1">E22+F21</f>
        <v>52000</v>
      </c>
      <c r="G22" s="44">
        <f t="shared" si="1"/>
        <v>52000</v>
      </c>
      <c r="H22" s="44">
        <f t="shared" si="1"/>
        <v>52000</v>
      </c>
      <c r="I22" s="44">
        <f t="shared" si="1"/>
        <v>52000</v>
      </c>
      <c r="J22" s="44">
        <f t="shared" si="1"/>
        <v>52000</v>
      </c>
      <c r="K22" s="44">
        <f t="shared" si="1"/>
        <v>52000</v>
      </c>
      <c r="L22" s="44">
        <f t="shared" si="1"/>
        <v>52000</v>
      </c>
      <c r="M22" s="44">
        <f t="shared" si="1"/>
        <v>52000</v>
      </c>
      <c r="N22" s="44">
        <f t="shared" si="1"/>
        <v>52000</v>
      </c>
      <c r="O22" s="44">
        <f t="shared" si="1"/>
        <v>52000</v>
      </c>
    </row>
    <row r="23" spans="2:15" x14ac:dyDescent="0.2">
      <c r="B23" s="12" t="s">
        <v>31</v>
      </c>
      <c r="C23" s="36" t="s">
        <v>32</v>
      </c>
      <c r="D23" s="48">
        <v>0.18</v>
      </c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0"/>
    </row>
    <row r="24" spans="2:15" x14ac:dyDescent="0.2">
      <c r="B24" s="12" t="s">
        <v>33</v>
      </c>
      <c r="C24" s="36"/>
      <c r="D24" s="44">
        <f t="shared" ref="D24:O24" si="2">D23*$C$27</f>
        <v>60710.579999999994</v>
      </c>
      <c r="E24" s="44">
        <f>E23*$C$27</f>
        <v>0</v>
      </c>
      <c r="F24" s="44">
        <f t="shared" si="2"/>
        <v>0</v>
      </c>
      <c r="G24" s="44">
        <f t="shared" si="2"/>
        <v>0</v>
      </c>
      <c r="H24" s="44">
        <f t="shared" si="2"/>
        <v>0</v>
      </c>
      <c r="I24" s="44">
        <f t="shared" si="2"/>
        <v>0</v>
      </c>
      <c r="J24" s="44">
        <f t="shared" si="2"/>
        <v>0</v>
      </c>
      <c r="K24" s="44">
        <f t="shared" si="2"/>
        <v>0</v>
      </c>
      <c r="L24" s="44">
        <f t="shared" si="2"/>
        <v>0</v>
      </c>
      <c r="M24" s="44">
        <f t="shared" si="2"/>
        <v>0</v>
      </c>
      <c r="N24" s="44">
        <f t="shared" si="2"/>
        <v>0</v>
      </c>
      <c r="O24" s="44">
        <f t="shared" si="2"/>
        <v>0</v>
      </c>
    </row>
    <row r="25" spans="2:15" ht="15.75" customHeight="1" x14ac:dyDescent="0.2">
      <c r="B25" s="16" t="s">
        <v>34</v>
      </c>
      <c r="C25" s="51" t="s">
        <v>35</v>
      </c>
      <c r="D25" s="44">
        <f>D24</f>
        <v>60710.579999999994</v>
      </c>
      <c r="E25" s="44">
        <f>D24+E24</f>
        <v>60710.579999999994</v>
      </c>
      <c r="F25" s="44">
        <f t="shared" ref="F25:O25" si="3">E25+F24</f>
        <v>60710.579999999994</v>
      </c>
      <c r="G25" s="44">
        <f t="shared" si="3"/>
        <v>60710.579999999994</v>
      </c>
      <c r="H25" s="44">
        <f t="shared" si="3"/>
        <v>60710.579999999994</v>
      </c>
      <c r="I25" s="44">
        <f t="shared" si="3"/>
        <v>60710.579999999994</v>
      </c>
      <c r="J25" s="44">
        <f t="shared" si="3"/>
        <v>60710.579999999994</v>
      </c>
      <c r="K25" s="44">
        <f t="shared" si="3"/>
        <v>60710.579999999994</v>
      </c>
      <c r="L25" s="44">
        <f t="shared" si="3"/>
        <v>60710.579999999994</v>
      </c>
      <c r="M25" s="44">
        <f t="shared" si="3"/>
        <v>60710.579999999994</v>
      </c>
      <c r="N25" s="44">
        <f t="shared" si="3"/>
        <v>60710.579999999994</v>
      </c>
      <c r="O25" s="44">
        <f t="shared" si="3"/>
        <v>60710.579999999994</v>
      </c>
    </row>
    <row r="26" spans="2:15" ht="16.5" customHeight="1" x14ac:dyDescent="0.2">
      <c r="D26" s="52" t="s">
        <v>36</v>
      </c>
    </row>
    <row r="27" spans="2:15" ht="16.5" customHeight="1" x14ac:dyDescent="0.2">
      <c r="B27" s="53" t="s">
        <v>37</v>
      </c>
      <c r="C27" s="54">
        <v>337281</v>
      </c>
      <c r="D27" s="52"/>
    </row>
    <row r="28" spans="2:15" ht="16.5" customHeight="1" x14ac:dyDescent="0.2">
      <c r="C28" s="55"/>
      <c r="D28" s="52"/>
    </row>
    <row r="29" spans="2:15" x14ac:dyDescent="0.2">
      <c r="B29" s="56" t="s">
        <v>38</v>
      </c>
      <c r="C29" s="57" t="s">
        <v>39</v>
      </c>
    </row>
    <row r="30" spans="2:15" ht="18.75" customHeight="1" x14ac:dyDescent="0.2">
      <c r="B30" s="58" t="s">
        <v>40</v>
      </c>
      <c r="C30" s="44">
        <f>D25-D22</f>
        <v>8710.5799999999945</v>
      </c>
      <c r="D30" s="59"/>
      <c r="E30" s="59"/>
    </row>
    <row r="31" spans="2:15" ht="30.75" customHeight="1" x14ac:dyDescent="0.2">
      <c r="B31" s="58" t="s">
        <v>41</v>
      </c>
      <c r="C31" s="60">
        <f>D25-D20</f>
        <v>35243.579999999994</v>
      </c>
    </row>
    <row r="32" spans="2:15" ht="33" customHeight="1" x14ac:dyDescent="0.2">
      <c r="B32" s="58" t="s">
        <v>42</v>
      </c>
      <c r="C32" s="61">
        <f>IF(D22=0,"N/A",D25/D22)</f>
        <v>1.1675111538461538</v>
      </c>
    </row>
    <row r="33" spans="2:3" ht="36" customHeight="1" x14ac:dyDescent="0.2">
      <c r="B33" s="58" t="s">
        <v>43</v>
      </c>
      <c r="C33" s="61">
        <f>IF(D20=0,"N/A",D25/D20)</f>
        <v>2.3838920956531982</v>
      </c>
    </row>
    <row r="34" spans="2:3" ht="35.25" customHeight="1" x14ac:dyDescent="0.2">
      <c r="B34" s="62" t="s">
        <v>44</v>
      </c>
      <c r="C34" s="63">
        <f>IF(C32="N/A","N/A",C27/C32)</f>
        <v>288888.88888888888</v>
      </c>
    </row>
    <row r="37" spans="2:3" x14ac:dyDescent="0.2">
      <c r="B37" s="64" t="s">
        <v>45</v>
      </c>
    </row>
    <row r="38" spans="2:3" x14ac:dyDescent="0.2">
      <c r="B38" s="64" t="s">
        <v>46</v>
      </c>
    </row>
    <row r="39" spans="2:3" x14ac:dyDescent="0.2">
      <c r="B39" s="64"/>
    </row>
    <row r="40" spans="2:3" x14ac:dyDescent="0.2">
      <c r="B40" s="64" t="s">
        <v>47</v>
      </c>
    </row>
    <row r="41" spans="2:3" x14ac:dyDescent="0.2">
      <c r="B41" s="64" t="s">
        <v>48</v>
      </c>
    </row>
    <row r="42" spans="2:3" x14ac:dyDescent="0.2">
      <c r="B42" s="64"/>
    </row>
    <row r="43" spans="2:3" x14ac:dyDescent="0.2">
      <c r="B43" s="64" t="s">
        <v>49</v>
      </c>
    </row>
    <row r="44" spans="2:3" x14ac:dyDescent="0.2">
      <c r="B44" s="64" t="s">
        <v>50</v>
      </c>
    </row>
    <row r="45" spans="2:3" x14ac:dyDescent="0.2">
      <c r="B45" s="64"/>
    </row>
    <row r="46" spans="2:3" x14ac:dyDescent="0.2">
      <c r="B46" s="64" t="s">
        <v>51</v>
      </c>
    </row>
    <row r="47" spans="2:3" x14ac:dyDescent="0.2">
      <c r="B47" s="64" t="s">
        <v>52</v>
      </c>
    </row>
  </sheetData>
  <mergeCells count="6">
    <mergeCell ref="D16:O16"/>
    <mergeCell ref="N6:O6"/>
    <mergeCell ref="N7:O7"/>
    <mergeCell ref="B8:O8"/>
    <mergeCell ref="N14:O14"/>
    <mergeCell ref="N15:O15"/>
  </mergeCells>
  <conditionalFormatting sqref="C30:C31">
    <cfRule type="expression" dxfId="26" priority="2">
      <formula>IF(ROUND(($N$14-$N$7)/30,0)=1,1,0)</formula>
    </cfRule>
  </conditionalFormatting>
  <conditionalFormatting sqref="D18:D25">
    <cfRule type="expression" dxfId="25" priority="6">
      <formula>IF(ROUND(($N$14-$N$7)/30,0)=1,1,0)</formula>
    </cfRule>
  </conditionalFormatting>
  <conditionalFormatting sqref="E18:E23">
    <cfRule type="expression" dxfId="24" priority="21">
      <formula>IF(ROUND(($N$14-$N$7)/30,0)=2,1,0)</formula>
    </cfRule>
  </conditionalFormatting>
  <conditionalFormatting sqref="E25">
    <cfRule type="expression" dxfId="23" priority="11">
      <formula>IF(ROUND(($N$14-$N$7)/30,0)=2,1,0)</formula>
    </cfRule>
  </conditionalFormatting>
  <conditionalFormatting sqref="E24:J24">
    <cfRule type="expression" dxfId="22" priority="13">
      <formula>IF(ROUND(($N$14-$N$7)/30,0)=1,1,0)</formula>
    </cfRule>
  </conditionalFormatting>
  <conditionalFormatting sqref="F18:F23">
    <cfRule type="expression" dxfId="21" priority="20">
      <formula>IF(ROUND(($N$14-$N$7)/30,0)=3,1,0)</formula>
    </cfRule>
  </conditionalFormatting>
  <conditionalFormatting sqref="F25">
    <cfRule type="expression" dxfId="20" priority="10">
      <formula>IF(ROUND(($N$14-$N$7)/30,0)=3,1,0)</formula>
    </cfRule>
  </conditionalFormatting>
  <conditionalFormatting sqref="G18:G23">
    <cfRule type="expression" dxfId="19" priority="19">
      <formula>IF(ROUND(($N$14-$N$7)/30,0)=4,1,0)</formula>
    </cfRule>
  </conditionalFormatting>
  <conditionalFormatting sqref="G25">
    <cfRule type="expression" dxfId="18" priority="9">
      <formula>IF(ROUND(($N$14-$N$7)/30,0)=4,1,0)</formula>
    </cfRule>
  </conditionalFormatting>
  <conditionalFormatting sqref="H18:H23">
    <cfRule type="expression" dxfId="17" priority="18">
      <formula>IF(ROUND(($N$14-$N$7)/30,0)=5,1,0)</formula>
    </cfRule>
  </conditionalFormatting>
  <conditionalFormatting sqref="H25">
    <cfRule type="expression" dxfId="16" priority="8">
      <formula>IF(ROUND(($N$14-$N$7)/30,0)=5,1,0)</formula>
    </cfRule>
  </conditionalFormatting>
  <conditionalFormatting sqref="I18:I23">
    <cfRule type="expression" dxfId="15" priority="17">
      <formula>IF(ROUND(($N$14-$N$7)/30,0)=6,1,0)</formula>
    </cfRule>
  </conditionalFormatting>
  <conditionalFormatting sqref="I25">
    <cfRule type="expression" dxfId="14" priority="7">
      <formula>IF(ROUND(($N$14-$N$7)/30,0)=6,1,0)</formula>
    </cfRule>
  </conditionalFormatting>
  <conditionalFormatting sqref="J18:J23">
    <cfRule type="expression" dxfId="13" priority="16">
      <formula>IF(ROUND(($N$14-$N$7)/30,0)=7,1,0)</formula>
    </cfRule>
  </conditionalFormatting>
  <conditionalFormatting sqref="K18:K21">
    <cfRule type="expression" dxfId="12" priority="26">
      <formula>IF(ROUND(($N$14-$N$7)/30,0)=8,1,0)</formula>
    </cfRule>
  </conditionalFormatting>
  <conditionalFormatting sqref="K23">
    <cfRule type="expression" dxfId="11" priority="40">
      <formula>IF(ROUND(($N$14-$N$7)/30,0)=8,1,0)</formula>
    </cfRule>
  </conditionalFormatting>
  <conditionalFormatting sqref="K22:O22">
    <cfRule type="expression" dxfId="10" priority="4">
      <formula>IF(ROUND(($N$14-$N$7)/30,0)=7,1,0)</formula>
    </cfRule>
  </conditionalFormatting>
  <conditionalFormatting sqref="K24:O24">
    <cfRule type="expression" dxfId="9" priority="12">
      <formula>IF(ROUND(($N$14-$N$7)/30,0)=1,1,0)</formula>
    </cfRule>
  </conditionalFormatting>
  <conditionalFormatting sqref="K25:O25">
    <cfRule type="expression" dxfId="8" priority="5">
      <formula>IF(ROUND(($N$14-$N$7)/30,0)=7,1,0)</formula>
    </cfRule>
  </conditionalFormatting>
  <conditionalFormatting sqref="L18:L21">
    <cfRule type="expression" dxfId="7" priority="25">
      <formula>IF(ROUND(($N$14-$N$7)/30,0)=9,1,0)</formula>
    </cfRule>
  </conditionalFormatting>
  <conditionalFormatting sqref="L23">
    <cfRule type="expression" dxfId="6" priority="41">
      <formula>IF(ROUND(($N$14-$N$7)/30,0)=9,1,0)</formula>
    </cfRule>
  </conditionalFormatting>
  <conditionalFormatting sqref="M18:M21">
    <cfRule type="expression" dxfId="5" priority="24">
      <formula>IF(ROUND(($N$14-$N$7)/30,0)=10,1,0)</formula>
    </cfRule>
  </conditionalFormatting>
  <conditionalFormatting sqref="M23">
    <cfRule type="expression" dxfId="4" priority="42">
      <formula>IF(ROUND(($N$14-$N$7)/30,0)=10,1,0)</formula>
    </cfRule>
  </conditionalFormatting>
  <conditionalFormatting sqref="N6:N7 N9:N11 M12 N13:N15">
    <cfRule type="expression" dxfId="3" priority="35">
      <formula>IF(ROUND(($N$14-$N$7)/30,0)=3,1,0)</formula>
    </cfRule>
  </conditionalFormatting>
  <conditionalFormatting sqref="N18:N21">
    <cfRule type="expression" dxfId="2" priority="23">
      <formula>IF(ROUND(($N$14-$N$7)/30,0)=11,1,0)</formula>
    </cfRule>
  </conditionalFormatting>
  <conditionalFormatting sqref="N23">
    <cfRule type="expression" dxfId="1" priority="43">
      <formula>IF(ROUND(($N$14-$N$7)/30,0)=11,1,0)</formula>
    </cfRule>
  </conditionalFormatting>
  <conditionalFormatting sqref="O18:O21 O23">
    <cfRule type="expression" dxfId="0" priority="44">
      <formula>IF(ROUND(($N$14-$N$7)/30,0)=12,1,0)</formula>
    </cfRule>
  </conditionalFormatting>
  <pageMargins left="0.7" right="0.7" top="0.75" bottom="0.75" header="0.511811023622047" footer="0.511811023622047"/>
  <pageSetup scale="4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46"/>
  <sheetViews>
    <sheetView showGridLines="0" topLeftCell="A6" zoomScaleNormal="100" workbookViewId="0">
      <selection activeCell="C11" sqref="C11"/>
    </sheetView>
  </sheetViews>
  <sheetFormatPr baseColWidth="10" defaultColWidth="9.1640625" defaultRowHeight="15" x14ac:dyDescent="0.2"/>
  <cols>
    <col min="2" max="2" width="60.6640625" customWidth="1"/>
    <col min="3" max="3" width="22.6640625" customWidth="1"/>
    <col min="4" max="4" width="13" customWidth="1"/>
    <col min="5" max="5" width="11.83203125" customWidth="1"/>
    <col min="6" max="6" width="12.5" customWidth="1"/>
    <col min="7" max="7" width="13.1640625" customWidth="1"/>
    <col min="8" max="8" width="12.5" customWidth="1"/>
    <col min="9" max="9" width="14.1640625" customWidth="1"/>
    <col min="10" max="10" width="12" customWidth="1"/>
    <col min="11" max="11" width="14" customWidth="1"/>
    <col min="12" max="13" width="13" customWidth="1"/>
    <col min="14" max="14" width="12.5" customWidth="1"/>
    <col min="15" max="15" width="14.1640625" customWidth="1"/>
    <col min="17" max="17" width="10.33203125" customWidth="1"/>
  </cols>
  <sheetData>
    <row r="1" spans="2:16" ht="15.75" customHeight="1" x14ac:dyDescent="0.2">
      <c r="B1" s="1"/>
      <c r="C1" s="1"/>
      <c r="D1" s="1"/>
      <c r="E1" s="1"/>
      <c r="F1" s="1"/>
      <c r="G1" s="1"/>
      <c r="H1" s="1"/>
      <c r="I1" s="1"/>
      <c r="J1" s="1"/>
      <c r="K1" s="1"/>
    </row>
    <row r="2" spans="2:16" ht="15.75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</row>
    <row r="3" spans="2:16" ht="15.75" customHeight="1" x14ac:dyDescent="0.2">
      <c r="B3" s="1"/>
      <c r="C3" s="1"/>
      <c r="D3" s="1"/>
      <c r="E3" s="1"/>
      <c r="F3" s="1"/>
      <c r="G3" s="1"/>
      <c r="H3" s="1"/>
      <c r="I3" s="1"/>
      <c r="J3" s="1"/>
      <c r="K3" s="1"/>
    </row>
    <row r="4" spans="2:16" ht="21" customHeight="1" x14ac:dyDescent="0.25">
      <c r="B4" s="1"/>
      <c r="C4" s="1"/>
      <c r="D4" s="2" t="s">
        <v>0</v>
      </c>
      <c r="F4" s="1"/>
      <c r="G4" s="1"/>
      <c r="H4" s="1"/>
      <c r="I4" s="1"/>
      <c r="J4" s="1"/>
      <c r="K4" s="1"/>
    </row>
    <row r="5" spans="2:16" ht="15.75" customHeight="1" x14ac:dyDescent="0.2">
      <c r="B5" s="3"/>
      <c r="C5" s="3"/>
      <c r="D5" s="1"/>
      <c r="E5" s="1"/>
      <c r="F5" s="1"/>
      <c r="G5" s="1"/>
      <c r="H5" s="1"/>
      <c r="I5" s="1"/>
      <c r="J5" s="1"/>
      <c r="K5" s="1"/>
    </row>
    <row r="6" spans="2:16" ht="15.75" customHeight="1" x14ac:dyDescent="0.2">
      <c r="B6" s="1"/>
      <c r="C6" s="1"/>
      <c r="D6" s="1"/>
      <c r="E6" s="1"/>
      <c r="F6" s="1"/>
      <c r="G6" s="1"/>
      <c r="H6" s="1"/>
      <c r="I6" s="1"/>
      <c r="J6" s="1"/>
      <c r="K6" s="4"/>
      <c r="L6" s="5"/>
      <c r="M6" s="5"/>
      <c r="N6" s="74"/>
      <c r="O6" s="74"/>
      <c r="P6" s="4"/>
    </row>
    <row r="7" spans="2:16" ht="15.75" customHeight="1" x14ac:dyDescent="0.2">
      <c r="B7" s="1"/>
      <c r="C7" s="1"/>
      <c r="D7" s="1"/>
      <c r="E7" s="1"/>
      <c r="F7" s="1"/>
      <c r="G7" s="1"/>
      <c r="H7" s="1"/>
      <c r="I7" s="1"/>
      <c r="J7" s="1"/>
      <c r="K7" s="6"/>
      <c r="L7" s="7"/>
      <c r="M7" s="7"/>
      <c r="N7" s="72"/>
      <c r="O7" s="72"/>
      <c r="P7" s="6"/>
    </row>
    <row r="8" spans="2:16" ht="21" customHeight="1" x14ac:dyDescent="0.25">
      <c r="B8" s="75" t="s">
        <v>1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6"/>
    </row>
    <row r="9" spans="2:16" ht="15.75" customHeight="1" x14ac:dyDescent="0.2"/>
    <row r="10" spans="2:16" x14ac:dyDescent="0.2">
      <c r="B10" s="8" t="s">
        <v>2</v>
      </c>
      <c r="C10" s="9" t="s">
        <v>53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2:16" x14ac:dyDescent="0.2">
      <c r="B11" s="12" t="s">
        <v>4</v>
      </c>
      <c r="C11" s="13" t="s">
        <v>54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</row>
    <row r="12" spans="2:16" ht="15.75" customHeight="1" x14ac:dyDescent="0.2">
      <c r="B12" s="16" t="s">
        <v>6</v>
      </c>
      <c r="C12" s="76">
        <v>40695</v>
      </c>
      <c r="D12" s="76"/>
      <c r="E12" s="19" t="s">
        <v>8</v>
      </c>
      <c r="F12" s="20"/>
      <c r="G12" s="76">
        <v>41455</v>
      </c>
      <c r="H12" s="76"/>
      <c r="I12" s="76"/>
      <c r="J12" s="19" t="s">
        <v>10</v>
      </c>
      <c r="K12" s="20"/>
      <c r="L12" s="77">
        <v>40908</v>
      </c>
      <c r="M12" s="77"/>
      <c r="N12" s="77"/>
      <c r="O12" s="77"/>
      <c r="P12" s="6"/>
    </row>
    <row r="13" spans="2:16" x14ac:dyDescent="0.2"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6"/>
    </row>
    <row r="14" spans="2:16" ht="15.75" customHeight="1" x14ac:dyDescent="0.2">
      <c r="B14" s="1"/>
      <c r="C14" s="1"/>
      <c r="D14" s="1"/>
      <c r="E14" s="1"/>
      <c r="F14" s="1"/>
      <c r="G14" s="1"/>
      <c r="H14" s="1"/>
      <c r="I14" s="1"/>
      <c r="J14" s="1"/>
      <c r="K14" s="6"/>
      <c r="L14" s="7"/>
      <c r="M14" s="29"/>
      <c r="N14" s="72"/>
      <c r="O14" s="72"/>
      <c r="P14" s="6"/>
    </row>
    <row r="15" spans="2:16" ht="16.5" customHeight="1" x14ac:dyDescent="0.2">
      <c r="B15" s="1"/>
      <c r="C15" s="1"/>
      <c r="D15" s="1"/>
      <c r="E15" s="1"/>
      <c r="F15" s="1"/>
      <c r="G15" s="1"/>
      <c r="H15" s="1"/>
      <c r="I15" s="1"/>
      <c r="J15" s="1"/>
      <c r="K15" s="6"/>
      <c r="L15" s="7"/>
      <c r="M15" s="29"/>
      <c r="N15" s="72"/>
      <c r="O15" s="72"/>
      <c r="P15" s="6"/>
    </row>
    <row r="16" spans="2:16" x14ac:dyDescent="0.2">
      <c r="B16" s="31"/>
      <c r="C16" s="32"/>
      <c r="D16" s="73" t="s">
        <v>55</v>
      </c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33"/>
    </row>
    <row r="17" spans="2:15" x14ac:dyDescent="0.2">
      <c r="B17" s="34"/>
      <c r="C17" s="35"/>
      <c r="D17" s="36" t="s">
        <v>56</v>
      </c>
      <c r="E17" s="36" t="s">
        <v>57</v>
      </c>
      <c r="F17" s="36" t="s">
        <v>58</v>
      </c>
      <c r="G17" s="36" t="s">
        <v>59</v>
      </c>
      <c r="H17" s="36" t="s">
        <v>60</v>
      </c>
      <c r="I17" s="36" t="s">
        <v>61</v>
      </c>
      <c r="J17" s="36" t="s">
        <v>62</v>
      </c>
      <c r="K17" s="36" t="s">
        <v>63</v>
      </c>
      <c r="L17" s="36" t="s">
        <v>64</v>
      </c>
      <c r="M17" s="36" t="s">
        <v>65</v>
      </c>
      <c r="N17" s="36" t="s">
        <v>66</v>
      </c>
      <c r="O17" s="37" t="s">
        <v>67</v>
      </c>
    </row>
    <row r="18" spans="2:15" x14ac:dyDescent="0.2">
      <c r="B18" s="12" t="s">
        <v>25</v>
      </c>
      <c r="C18" s="36"/>
      <c r="D18" s="44">
        <v>20000</v>
      </c>
      <c r="E18" s="44">
        <v>40000</v>
      </c>
      <c r="F18" s="44">
        <v>60000</v>
      </c>
      <c r="G18" s="44">
        <v>80000</v>
      </c>
      <c r="H18" s="44">
        <v>120000</v>
      </c>
      <c r="I18" s="44">
        <v>140000</v>
      </c>
      <c r="J18" s="44">
        <v>160000</v>
      </c>
      <c r="K18" s="44">
        <v>180000</v>
      </c>
      <c r="L18" s="44">
        <v>180000</v>
      </c>
      <c r="M18" s="44">
        <v>120000</v>
      </c>
      <c r="N18" s="44">
        <v>80000</v>
      </c>
      <c r="O18" s="45">
        <v>40000</v>
      </c>
    </row>
    <row r="19" spans="2:15" x14ac:dyDescent="0.2">
      <c r="B19" s="12" t="s">
        <v>26</v>
      </c>
      <c r="C19" s="36" t="s">
        <v>27</v>
      </c>
      <c r="D19" s="44">
        <f>D18</f>
        <v>20000</v>
      </c>
      <c r="E19" s="44">
        <f>D18+E18</f>
        <v>60000</v>
      </c>
      <c r="F19" s="44">
        <f t="shared" ref="F19:O19" si="0">E19+F18</f>
        <v>120000</v>
      </c>
      <c r="G19" s="44">
        <f t="shared" si="0"/>
        <v>200000</v>
      </c>
      <c r="H19" s="44">
        <f t="shared" si="0"/>
        <v>320000</v>
      </c>
      <c r="I19" s="44">
        <f t="shared" si="0"/>
        <v>460000</v>
      </c>
      <c r="J19" s="44">
        <f t="shared" si="0"/>
        <v>620000</v>
      </c>
      <c r="K19" s="44">
        <f t="shared" si="0"/>
        <v>800000</v>
      </c>
      <c r="L19" s="44">
        <f t="shared" si="0"/>
        <v>980000</v>
      </c>
      <c r="M19" s="44">
        <f t="shared" si="0"/>
        <v>1100000</v>
      </c>
      <c r="N19" s="44">
        <f t="shared" si="0"/>
        <v>1180000</v>
      </c>
      <c r="O19" s="45">
        <f t="shared" si="0"/>
        <v>1220000</v>
      </c>
    </row>
    <row r="20" spans="2:15" x14ac:dyDescent="0.2">
      <c r="B20" s="12" t="s">
        <v>28</v>
      </c>
      <c r="C20" s="36"/>
      <c r="D20" s="44">
        <v>20000</v>
      </c>
      <c r="E20" s="44">
        <v>20000</v>
      </c>
      <c r="F20" s="44">
        <v>40000</v>
      </c>
      <c r="G20" s="44">
        <v>60000</v>
      </c>
      <c r="H20" s="44">
        <v>80000</v>
      </c>
      <c r="I20" s="44">
        <v>100000</v>
      </c>
      <c r="J20" s="44">
        <v>150000</v>
      </c>
      <c r="K20" s="44"/>
      <c r="L20" s="44"/>
      <c r="M20" s="44"/>
      <c r="N20" s="44"/>
      <c r="O20" s="45"/>
    </row>
    <row r="21" spans="2:15" x14ac:dyDescent="0.2">
      <c r="B21" s="12" t="s">
        <v>29</v>
      </c>
      <c r="C21" s="36" t="s">
        <v>30</v>
      </c>
      <c r="D21" s="44">
        <f>D20</f>
        <v>20000</v>
      </c>
      <c r="E21" s="44">
        <f>D20+E20</f>
        <v>40000</v>
      </c>
      <c r="F21" s="44">
        <f>E21+F20</f>
        <v>80000</v>
      </c>
      <c r="G21" s="44">
        <f>F21+G20</f>
        <v>140000</v>
      </c>
      <c r="H21" s="44">
        <f>G21+H20</f>
        <v>220000</v>
      </c>
      <c r="I21" s="44">
        <f>H21+I20</f>
        <v>320000</v>
      </c>
      <c r="J21" s="44">
        <f>I21+J20</f>
        <v>470000</v>
      </c>
      <c r="K21" s="44"/>
      <c r="L21" s="44"/>
      <c r="M21" s="44"/>
      <c r="N21" s="44"/>
      <c r="O21" s="45"/>
    </row>
    <row r="22" spans="2:15" x14ac:dyDescent="0.2">
      <c r="B22" s="12" t="s">
        <v>31</v>
      </c>
      <c r="C22" s="36" t="s">
        <v>32</v>
      </c>
      <c r="D22" s="65">
        <v>1.4999999999999999E-2</v>
      </c>
      <c r="E22" s="66">
        <v>0.03</v>
      </c>
      <c r="F22" s="66">
        <v>0.04</v>
      </c>
      <c r="G22" s="66">
        <v>0.06</v>
      </c>
      <c r="H22" s="66">
        <v>8.5000000000000006E-2</v>
      </c>
      <c r="I22" s="66">
        <v>0.1</v>
      </c>
      <c r="J22" s="66">
        <v>0.12</v>
      </c>
      <c r="K22" s="66"/>
      <c r="L22" s="66"/>
      <c r="M22" s="66"/>
      <c r="N22" s="66"/>
      <c r="O22" s="67"/>
    </row>
    <row r="23" spans="2:15" x14ac:dyDescent="0.2">
      <c r="B23" s="12" t="s">
        <v>33</v>
      </c>
      <c r="C23" s="36" t="s">
        <v>68</v>
      </c>
      <c r="D23" s="44">
        <f t="shared" ref="D23:J23" si="1">D22*$C$26</f>
        <v>18300</v>
      </c>
      <c r="E23" s="44">
        <f t="shared" si="1"/>
        <v>36600</v>
      </c>
      <c r="F23" s="44">
        <f t="shared" si="1"/>
        <v>48800</v>
      </c>
      <c r="G23" s="44">
        <f t="shared" si="1"/>
        <v>73200</v>
      </c>
      <c r="H23" s="44">
        <f t="shared" si="1"/>
        <v>103700.00000000001</v>
      </c>
      <c r="I23" s="44">
        <f t="shared" si="1"/>
        <v>122000</v>
      </c>
      <c r="J23" s="44">
        <f t="shared" si="1"/>
        <v>146400</v>
      </c>
      <c r="K23" s="44"/>
      <c r="L23" s="44"/>
      <c r="M23" s="44"/>
      <c r="N23" s="44"/>
      <c r="O23" s="45"/>
    </row>
    <row r="24" spans="2:15" ht="15.75" customHeight="1" x14ac:dyDescent="0.2">
      <c r="B24" s="16" t="s">
        <v>34</v>
      </c>
      <c r="C24" s="51" t="s">
        <v>35</v>
      </c>
      <c r="D24" s="44">
        <f>D23</f>
        <v>18300</v>
      </c>
      <c r="E24" s="44">
        <f>D23+E23</f>
        <v>54900</v>
      </c>
      <c r="F24" s="44">
        <f>E24+F23</f>
        <v>103700</v>
      </c>
      <c r="G24" s="44">
        <f>F24+G23</f>
        <v>176900</v>
      </c>
      <c r="H24" s="44">
        <f>G24+H23</f>
        <v>280600</v>
      </c>
      <c r="I24" s="44">
        <f>H24+I23</f>
        <v>402600</v>
      </c>
      <c r="J24" s="44">
        <f>I24+J23</f>
        <v>549000</v>
      </c>
      <c r="K24" s="44"/>
      <c r="L24" s="44"/>
      <c r="M24" s="44"/>
      <c r="N24" s="44"/>
      <c r="O24" s="45"/>
    </row>
    <row r="25" spans="2:15" ht="16.5" customHeight="1" x14ac:dyDescent="0.2">
      <c r="D25" s="52" t="s">
        <v>36</v>
      </c>
    </row>
    <row r="26" spans="2:15" ht="16.5" customHeight="1" x14ac:dyDescent="0.2">
      <c r="B26" s="53" t="s">
        <v>69</v>
      </c>
      <c r="C26" s="68">
        <f>O19</f>
        <v>1220000</v>
      </c>
      <c r="D26" s="52"/>
    </row>
    <row r="27" spans="2:15" ht="16.5" customHeight="1" x14ac:dyDescent="0.2">
      <c r="C27" s="55"/>
      <c r="D27" s="52"/>
    </row>
    <row r="28" spans="2:15" x14ac:dyDescent="0.2">
      <c r="B28" s="56" t="s">
        <v>38</v>
      </c>
      <c r="C28" s="57" t="s">
        <v>39</v>
      </c>
    </row>
    <row r="29" spans="2:15" x14ac:dyDescent="0.2">
      <c r="B29" s="58" t="s">
        <v>40</v>
      </c>
      <c r="C29" s="44">
        <f>J24-J21</f>
        <v>79000</v>
      </c>
      <c r="D29" s="59"/>
      <c r="E29" s="59"/>
    </row>
    <row r="30" spans="2:15" ht="25.5" customHeight="1" x14ac:dyDescent="0.2">
      <c r="B30" s="58" t="s">
        <v>70</v>
      </c>
      <c r="C30" s="60">
        <f>J24-J19</f>
        <v>-71000</v>
      </c>
    </row>
    <row r="31" spans="2:15" ht="25.5" customHeight="1" x14ac:dyDescent="0.2">
      <c r="B31" s="58" t="s">
        <v>71</v>
      </c>
      <c r="C31" s="61">
        <f>(J24/J21)</f>
        <v>1.1680851063829787</v>
      </c>
    </row>
    <row r="32" spans="2:15" ht="25.5" customHeight="1" x14ac:dyDescent="0.2">
      <c r="B32" s="58" t="s">
        <v>43</v>
      </c>
      <c r="C32" s="61">
        <f>J24/J19</f>
        <v>0.88548387096774195</v>
      </c>
    </row>
    <row r="33" spans="2:3" ht="26.25" customHeight="1" x14ac:dyDescent="0.2">
      <c r="B33" s="62" t="s">
        <v>72</v>
      </c>
      <c r="C33" s="63">
        <f>C26/C31</f>
        <v>1044444.4444444445</v>
      </c>
    </row>
    <row r="35" spans="2:3" x14ac:dyDescent="0.2">
      <c r="B35" s="69"/>
    </row>
    <row r="36" spans="2:3" x14ac:dyDescent="0.2">
      <c r="B36" s="70" t="s">
        <v>45</v>
      </c>
    </row>
    <row r="37" spans="2:3" x14ac:dyDescent="0.2">
      <c r="B37" s="64" t="s">
        <v>46</v>
      </c>
    </row>
    <row r="38" spans="2:3" x14ac:dyDescent="0.2">
      <c r="B38" s="71"/>
    </row>
    <row r="39" spans="2:3" x14ac:dyDescent="0.2">
      <c r="B39" s="64" t="s">
        <v>47</v>
      </c>
    </row>
    <row r="40" spans="2:3" x14ac:dyDescent="0.2">
      <c r="B40" s="64" t="s">
        <v>48</v>
      </c>
    </row>
    <row r="41" spans="2:3" x14ac:dyDescent="0.2">
      <c r="B41" s="64"/>
    </row>
    <row r="42" spans="2:3" x14ac:dyDescent="0.2">
      <c r="B42" s="64" t="s">
        <v>49</v>
      </c>
    </row>
    <row r="43" spans="2:3" x14ac:dyDescent="0.2">
      <c r="B43" s="64" t="s">
        <v>50</v>
      </c>
    </row>
    <row r="44" spans="2:3" x14ac:dyDescent="0.2">
      <c r="B44" s="64"/>
    </row>
    <row r="45" spans="2:3" x14ac:dyDescent="0.2">
      <c r="B45" s="64" t="s">
        <v>51</v>
      </c>
    </row>
    <row r="46" spans="2:3" x14ac:dyDescent="0.2">
      <c r="B46" s="64" t="s">
        <v>52</v>
      </c>
    </row>
  </sheetData>
  <mergeCells count="9">
    <mergeCell ref="N14:O14"/>
    <mergeCell ref="N15:O15"/>
    <mergeCell ref="D16:O16"/>
    <mergeCell ref="N6:O6"/>
    <mergeCell ref="N7:O7"/>
    <mergeCell ref="B8:O8"/>
    <mergeCell ref="C12:D12"/>
    <mergeCell ref="G12:I12"/>
    <mergeCell ref="L12:O12"/>
  </mergeCells>
  <pageMargins left="0.7" right="0.7" top="0.75" bottom="0.75" header="0.511811023622047" footer="0.511811023622047"/>
  <pageSetup scale="48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EVM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 Cupa</dc:creator>
  <dc:description/>
  <cp:lastModifiedBy>DANIELA YISSEL AISPURO AISPURO</cp:lastModifiedBy>
  <cp:revision>1</cp:revision>
  <cp:lastPrinted>2012-05-23T16:28:30Z</cp:lastPrinted>
  <dcterms:created xsi:type="dcterms:W3CDTF">2011-05-27T04:00:15Z</dcterms:created>
  <dcterms:modified xsi:type="dcterms:W3CDTF">2026-02-27T07:02:00Z</dcterms:modified>
  <dc:language>en-US</dc:language>
</cp:coreProperties>
</file>