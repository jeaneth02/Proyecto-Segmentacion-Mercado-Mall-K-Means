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5261DFFB-C553-4BBE-A3B4-3B979D194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4" l="1"/>
  <c r="M25" i="14"/>
  <c r="L24" i="14"/>
  <c r="M24" i="14"/>
  <c r="L22" i="14"/>
  <c r="M22" i="14"/>
  <c r="K25" i="14"/>
  <c r="J24" i="14"/>
  <c r="K24" i="14"/>
  <c r="K22" i="14"/>
  <c r="H24" i="14"/>
  <c r="I24" i="14"/>
  <c r="G24" i="14"/>
  <c r="E24" i="14"/>
  <c r="F24" i="14"/>
  <c r="D24" i="14"/>
  <c r="H25" i="14"/>
  <c r="E22" i="14"/>
  <c r="F22" i="14" s="1"/>
  <c r="G22" i="14" s="1"/>
  <c r="H22" i="14" s="1"/>
  <c r="I22" i="14" s="1"/>
  <c r="J22" i="14" s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F25" i="14" s="1"/>
  <c r="G25" i="14" s="1"/>
  <c r="I25" i="14" s="1"/>
  <c r="J25" i="14" s="1"/>
  <c r="D25" i="14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<sst xmlns="http://schemas.openxmlformats.org/spreadsheetml/2006/main" count="53" uniqueCount="53">
  <si>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</si>
  <si>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</si>
  <si>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</si>
  <si>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</si>
  <si>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</si>
  <si>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</si>
  <si>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</si>
  <si>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</si>
  <si>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</si>
  <si>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</si>
  <si>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</si>
  <si>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</si>
  <si>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</si>
  <si>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</si>
  <si>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</si>
  <si>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</si>
  <si>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</si>
  <si>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</si>
  <si>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</si>
  <si>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</si>
  <si>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</si>
  <si>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</si>
  <si>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</si>
  <si>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</si>
  <si>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</si>
  <si>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</si>
  <si>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</si>
  <si>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</si>
  <si>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</si>
  <si>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</si>
  <si>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</si>
  <si>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</si>
  <si>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</si>
  <si>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</si>
  <si>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</si>
  <si>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Segmentación de mercado para Targeting</t>
  </si>
  <si>
    <t xml:space="preserve">	
SMT-2026-01</t>
  </si>
  <si>
    <t xml:space="preserve">	
02/marzo/2026</t>
  </si>
  <si>
    <t xml:space="preserve">	
13/marzo/2026</t>
  </si>
  <si>
    <t>Proyecto</t>
  </si>
  <si>
    <t>Semana</t>
  </si>
  <si>
    <t>1</t>
  </si>
  <si>
    <t>2</t>
  </si>
  <si>
    <t>3</t>
  </si>
  <si>
    <t>4</t>
  </si>
  <si>
    <t>5</t>
  </si>
  <si>
    <t>6</t>
  </si>
  <si>
    <t>7</t>
  </si>
  <si>
    <t>9</t>
  </si>
  <si>
    <t>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</si>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</sst>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0.0000"/>
    <numFmt numFmtId="166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7" xfId="0" applyNumberFormat="1" applyFont="1" applyFill="1" applyBorder="1" applyAlignment="1">
      <alignment horizontal="center" vertical="top" wrapText="1"/>
    </xf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2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9" fillId="5" borderId="7" xfId="0" applyFont="1" applyFill="1" applyBorder="1" applyAlignment="1">
      <alignment horizontal="right"/>
    </xf>
    <xf numFmtId="0" fontId="0" fillId="5" borderId="10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0" fillId="0" borderId="25" xfId="0" applyBorder="1"/>
    <xf numFmtId="0" fontId="0" fillId="0" borderId="24" xfId="0" applyBorder="1"/>
    <xf numFmtId="0" fontId="2" fillId="0" borderId="0" xfId="0" applyFont="1" applyAlignment="1">
      <alignment vertical="center"/>
    </xf>
    <xf numFmtId="0" fontId="0" fillId="0" borderId="12" xfId="0" applyBorder="1" applyAlignment="1">
      <alignment wrapText="1"/>
    </xf>
    <xf numFmtId="14" fontId="0" fillId="0" borderId="23" xfId="0" applyNumberFormat="1" applyBorder="1" applyAlignment="1">
      <alignment wrapText="1"/>
    </xf>
    <xf numFmtId="17" fontId="14" fillId="0" borderId="23" xfId="0" applyNumberFormat="1" applyFont="1" applyBorder="1"/>
    <xf numFmtId="44" fontId="4" fillId="3" borderId="5" xfId="1" applyFont="1" applyFill="1" applyBorder="1" applyAlignment="1" applyProtection="1">
      <alignment horizontal="right" vertical="top" wrapText="1"/>
      <protection locked="0"/>
    </xf>
    <xf numFmtId="44" fontId="4" fillId="3" borderId="5" xfId="1" applyFont="1" applyFill="1" applyBorder="1"/>
    <xf numFmtId="44" fontId="4" fillId="3" borderId="14" xfId="1" applyFont="1" applyFill="1" applyBorder="1"/>
    <xf numFmtId="44" fontId="13" fillId="3" borderId="6" xfId="1" applyFont="1" applyFill="1" applyBorder="1" applyAlignment="1" applyProtection="1">
      <alignment horizontal="right" vertical="top" wrapText="1"/>
      <protection locked="0"/>
    </xf>
    <xf numFmtId="44" fontId="13" fillId="3" borderId="20" xfId="1" applyFont="1" applyFill="1" applyBorder="1" applyAlignment="1">
      <alignment horizontal="right" vertical="top" wrapText="1"/>
    </xf>
    <xf numFmtId="44" fontId="13" fillId="3" borderId="21" xfId="1" applyFont="1" applyFill="1" applyBorder="1" applyAlignment="1">
      <alignment horizontal="right" vertical="top" wrapText="1"/>
    </xf>
    <xf numFmtId="9" fontId="4" fillId="3" borderId="19" xfId="2" applyFont="1" applyFill="1" applyBorder="1" applyAlignment="1">
      <alignment horizontal="right" vertical="top" wrapText="1"/>
    </xf>
    <xf numFmtId="9" fontId="4" fillId="3" borderId="20" xfId="2" applyFont="1" applyFill="1" applyBorder="1" applyAlignment="1">
      <alignment horizontal="right" vertical="top" wrapText="1"/>
    </xf>
    <xf numFmtId="44" fontId="12" fillId="3" borderId="9" xfId="1" applyFont="1" applyFill="1" applyBorder="1" applyAlignment="1">
      <alignment horizontal="center"/>
    </xf>
    <xf numFmtId="166" fontId="0" fillId="3" borderId="5" xfId="1" applyNumberFormat="1" applyFont="1" applyFill="1" applyBorder="1" applyAlignment="1">
      <alignment horizontal="center"/>
    </xf>
    <xf numFmtId="44" fontId="2" fillId="0" borderId="6" xfId="1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4" fontId="0" fillId="0" borderId="23" xfId="0" applyNumberFormat="1" applyBorder="1" applyAlignment="1">
      <alignment horizontal="left" wrapText="1"/>
    </xf>
    <xf numFmtId="14" fontId="0" fillId="0" borderId="25" xfId="0" applyNumberFormat="1" applyBorder="1" applyAlignment="1">
      <alignment horizontal="left" wrapText="1"/>
    </xf>
    <xf numFmtId="14" fontId="0" fillId="0" borderId="26" xfId="0" applyNumberFormat="1" applyBorder="1" applyAlignment="1">
      <alignment horizontal="left" wrapText="1"/>
    </xf>
  </cellXfs>
  <cellStyles count="3">
    <cellStyle name="Moneda" xfId="1" builtinId="4"/>
    <cellStyle name="Normal" xfId="0" builtinId="0"/>
    <cellStyle name="Porcentaje" xfId="2" builtinId="5"/>
  </cellStyles>
  <dxfs count="4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EVM'!$D$20:$O$20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5D-907A-1B5588D6FCB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EVM'!$D$22:$O$22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38000</c:v>
                </c:pt>
                <c:pt idx="3">
                  <c:v>63000</c:v>
                </c:pt>
                <c:pt idx="4">
                  <c:v>100000</c:v>
                </c:pt>
                <c:pt idx="5">
                  <c:v>137000</c:v>
                </c:pt>
                <c:pt idx="6">
                  <c:v>174000</c:v>
                </c:pt>
                <c:pt idx="7">
                  <c:v>211000</c:v>
                </c:pt>
                <c:pt idx="8">
                  <c:v>246000</c:v>
                </c:pt>
                <c:pt idx="9">
                  <c:v>281000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5D-907A-1B5588D6FCB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EVM'!$D$25:$O$25</c:f>
              <c:numCache>
                <c:formatCode>_("$"* #,##0.00_);_("$"* \(#,##0.00\);_("$"* "-"??_);_(@_)</c:formatCode>
                <c:ptCount val="12"/>
                <c:pt idx="0">
                  <c:v>42750</c:v>
                </c:pt>
                <c:pt idx="1">
                  <c:v>84150</c:v>
                </c:pt>
                <c:pt idx="2">
                  <c:v>124650</c:v>
                </c:pt>
                <c:pt idx="3">
                  <c:v>166050</c:v>
                </c:pt>
                <c:pt idx="4">
                  <c:v>208800</c:v>
                </c:pt>
                <c:pt idx="5">
                  <c:v>251550</c:v>
                </c:pt>
                <c:pt idx="6">
                  <c:v>295650</c:v>
                </c:pt>
                <c:pt idx="7">
                  <c:v>339750</c:v>
                </c:pt>
                <c:pt idx="8">
                  <c:v>382950</c:v>
                </c:pt>
                <c:pt idx="9">
                  <c:v>426150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5D-907A-1B5588D6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2" dataDxfId="40" headerRowBorderDxfId="41" tableBorderDxfId="39" totalsRowBorderDxfId="38">
  <tableColumns count="12">
    <tableColumn id="1" xr3:uid="{00000000-0010-0000-0000-000001000000}" name="1" dataDxfId="37"/>
    <tableColumn id="2" xr3:uid="{00000000-0010-0000-0000-000002000000}" name="2" dataDxfId="36"/>
    <tableColumn id="3" xr3:uid="{00000000-0010-0000-0000-000003000000}" name="3" dataDxfId="35"/>
    <tableColumn id="4" xr3:uid="{00000000-0010-0000-0000-000004000000}" name="4" dataDxfId="34"/>
    <tableColumn id="5" xr3:uid="{00000000-0010-0000-0000-000005000000}" name="5" dataDxfId="33"/>
    <tableColumn id="6" xr3:uid="{00000000-0010-0000-0000-000006000000}" name="6" dataDxfId="32"/>
    <tableColumn id="7" xr3:uid="{00000000-0010-0000-0000-000007000000}" name="7" dataDxfId="31"/>
    <tableColumn id="8" xr3:uid="{00000000-0010-0000-0000-000008000000}" name="8" dataDxfId="30"/>
    <tableColumn id="9" xr3:uid="{00000000-0010-0000-0000-000009000000}" name="9" dataDxfId="29"/>
    <tableColumn id="10" xr3:uid="{00000000-0010-0000-0000-00000A000000}" name="10" dataDxfId="28"/>
    <tableColumn id="11" xr3:uid="{00000000-0010-0000-0000-00000B000000}" name="11" dataDxfId="27"/>
    <tableColumn id="12" xr3:uid="{00000000-0010-0000-0000-00000C000000}" name="12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9" zoomScale="59" zoomScaleNormal="100" workbookViewId="0">
      <selection activeCell="Q26" sqref="Q26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3.21875" customWidth="1"/>
    <col min="5" max="5" width="13.88671875" customWidth="1"/>
    <col min="6" max="6" width="13.33203125" customWidth="1"/>
    <col min="7" max="7" width="13.44140625" customWidth="1"/>
    <col min="8" max="8" width="17.109375" customWidth="1"/>
    <col min="9" max="9" width="16.109375" customWidth="1"/>
    <col min="10" max="12" width="13.77734375" customWidth="1"/>
    <col min="13" max="15" width="15.8867187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4"/>
      <c r="M6" s="14"/>
      <c r="N6" s="63"/>
      <c r="O6" s="63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5"/>
      <c r="M7" s="15"/>
      <c r="N7" s="64"/>
      <c r="O7" s="64"/>
      <c r="P7" s="9"/>
    </row>
    <row r="8" spans="2:18" ht="16.5" customHeight="1" x14ac:dyDescent="0.4">
      <c r="B8" s="65" t="s">
        <v>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9"/>
    </row>
    <row r="9" spans="2:18" ht="16.5" customHeight="1" thickBot="1" x14ac:dyDescent="0.35">
      <c r="Q9" s="9"/>
    </row>
    <row r="10" spans="2:18" ht="16.5" customHeight="1" x14ac:dyDescent="0.3">
      <c r="B10" s="35" t="s">
        <v>10</v>
      </c>
      <c r="C10" s="36" t="s">
        <v>35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Q10" s="9"/>
    </row>
    <row r="11" spans="2:18" ht="16.5" customHeight="1" x14ac:dyDescent="0.3">
      <c r="B11" s="32" t="s">
        <v>11</v>
      </c>
      <c r="C11" s="46" t="s">
        <v>36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9"/>
      <c r="Q11" s="9"/>
    </row>
    <row r="12" spans="2:18" ht="16.5" customHeight="1" thickBot="1" x14ac:dyDescent="0.35">
      <c r="B12" s="33" t="s">
        <v>12</v>
      </c>
      <c r="C12" s="47" t="s">
        <v>37</v>
      </c>
      <c r="D12" s="40"/>
      <c r="E12" s="41" t="s">
        <v>13</v>
      </c>
      <c r="F12" s="42"/>
      <c r="G12" s="48">
        <v>46143</v>
      </c>
      <c r="H12" s="43"/>
      <c r="I12" s="44"/>
      <c r="J12" s="41" t="s">
        <v>14</v>
      </c>
      <c r="K12" s="42"/>
      <c r="L12" s="66" t="s">
        <v>38</v>
      </c>
      <c r="M12" s="67"/>
      <c r="N12" s="67"/>
      <c r="O12" s="68"/>
      <c r="P12" s="9"/>
    </row>
    <row r="13" spans="2:18" ht="16.5" customHeight="1" x14ac:dyDescent="0.3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5"/>
      <c r="M14" s="16"/>
      <c r="N14" s="64"/>
      <c r="O14" s="64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5"/>
      <c r="M15" s="16"/>
      <c r="N15" s="64"/>
      <c r="O15" s="64"/>
      <c r="P15" s="9"/>
      <c r="Q15" s="3"/>
    </row>
    <row r="16" spans="2:18" ht="16.5" customHeight="1" x14ac:dyDescent="0.3">
      <c r="B16" s="27"/>
      <c r="C16" s="28"/>
      <c r="D16" s="61" t="s">
        <v>39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2"/>
      <c r="R16" s="3"/>
    </row>
    <row r="17" spans="2:15" ht="15" customHeight="1" x14ac:dyDescent="0.3">
      <c r="B17" s="29"/>
      <c r="C17" s="20" t="s">
        <v>40</v>
      </c>
      <c r="D17" s="21" t="s">
        <v>41</v>
      </c>
      <c r="E17" s="21" t="s">
        <v>42</v>
      </c>
      <c r="F17" s="21" t="s">
        <v>43</v>
      </c>
      <c r="G17" s="21" t="s">
        <v>44</v>
      </c>
      <c r="H17" s="21" t="s">
        <v>45</v>
      </c>
      <c r="I17" s="21" t="s">
        <v>46</v>
      </c>
      <c r="J17" s="21" t="s">
        <v>47</v>
      </c>
      <c r="K17" s="21" t="s">
        <v>49</v>
      </c>
      <c r="L17" s="21" t="s">
        <v>48</v>
      </c>
      <c r="M17" s="21" t="s">
        <v>50</v>
      </c>
      <c r="N17" s="21" t="s">
        <v>51</v>
      </c>
      <c r="O17" s="30" t="s">
        <v>52</v>
      </c>
    </row>
    <row r="18" spans="2:15" ht="15.75" hidden="1" customHeight="1" thickBot="1" x14ac:dyDescent="0.35">
      <c r="B18" s="31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2" t="s">
        <v>15</v>
      </c>
      <c r="C19" s="21"/>
      <c r="D19" s="50">
        <v>11500</v>
      </c>
      <c r="E19" s="50">
        <v>18500</v>
      </c>
      <c r="F19" s="50">
        <v>14000</v>
      </c>
      <c r="G19" s="50">
        <v>31000</v>
      </c>
      <c r="H19" s="50">
        <v>33000</v>
      </c>
      <c r="I19" s="50">
        <v>42000</v>
      </c>
      <c r="J19" s="50">
        <v>36000</v>
      </c>
      <c r="K19" s="50">
        <v>39000</v>
      </c>
      <c r="L19" s="50">
        <v>20000</v>
      </c>
      <c r="M19" s="50">
        <v>25000</v>
      </c>
      <c r="N19" s="50">
        <v>11000</v>
      </c>
      <c r="O19" s="51">
        <v>19000</v>
      </c>
    </row>
    <row r="20" spans="2:15" ht="15" customHeight="1" x14ac:dyDescent="0.3">
      <c r="B20" s="32" t="s">
        <v>16</v>
      </c>
      <c r="C20" s="21" t="s">
        <v>2</v>
      </c>
      <c r="D20" s="50">
        <f>D19</f>
        <v>11500</v>
      </c>
      <c r="E20" s="50">
        <f>D19+E19</f>
        <v>30000</v>
      </c>
      <c r="F20" s="50">
        <f>E20+F19</f>
        <v>44000</v>
      </c>
      <c r="G20" s="50">
        <f>F20+G19</f>
        <v>75000</v>
      </c>
      <c r="H20" s="50">
        <f t="shared" ref="H20:O20" si="0">G20+H19</f>
        <v>108000</v>
      </c>
      <c r="I20" s="50">
        <f t="shared" si="0"/>
        <v>150000</v>
      </c>
      <c r="J20" s="50">
        <f t="shared" si="0"/>
        <v>186000</v>
      </c>
      <c r="K20" s="50">
        <f t="shared" si="0"/>
        <v>225000</v>
      </c>
      <c r="L20" s="50">
        <f t="shared" si="0"/>
        <v>245000</v>
      </c>
      <c r="M20" s="50">
        <f t="shared" si="0"/>
        <v>270000</v>
      </c>
      <c r="N20" s="50">
        <f t="shared" si="0"/>
        <v>281000</v>
      </c>
      <c r="O20" s="51">
        <f t="shared" si="0"/>
        <v>300000</v>
      </c>
    </row>
    <row r="21" spans="2:15" ht="15" customHeight="1" x14ac:dyDescent="0.3">
      <c r="B21" s="32" t="s">
        <v>17</v>
      </c>
      <c r="C21" s="21"/>
      <c r="D21" s="49">
        <v>8000</v>
      </c>
      <c r="E21" s="49">
        <v>12000</v>
      </c>
      <c r="F21" s="49">
        <v>18000</v>
      </c>
      <c r="G21" s="49">
        <v>25000</v>
      </c>
      <c r="H21" s="49">
        <v>37000</v>
      </c>
      <c r="I21" s="49">
        <v>37000</v>
      </c>
      <c r="J21" s="49">
        <v>37000</v>
      </c>
      <c r="K21" s="49">
        <v>37000</v>
      </c>
      <c r="L21" s="49">
        <v>35000</v>
      </c>
      <c r="M21" s="49">
        <v>35000</v>
      </c>
      <c r="N21" s="49"/>
      <c r="O21" s="52"/>
    </row>
    <row r="22" spans="2:15" x14ac:dyDescent="0.3">
      <c r="B22" s="32" t="s">
        <v>18</v>
      </c>
      <c r="C22" s="21" t="s">
        <v>3</v>
      </c>
      <c r="D22" s="50">
        <f>D21</f>
        <v>8000</v>
      </c>
      <c r="E22" s="50">
        <f>D21+E21</f>
        <v>20000</v>
      </c>
      <c r="F22" s="50">
        <f>E22+F21</f>
        <v>38000</v>
      </c>
      <c r="G22" s="50">
        <f>F22+G21</f>
        <v>63000</v>
      </c>
      <c r="H22" s="50">
        <f t="shared" ref="H22:K22" si="1">G22+H21</f>
        <v>100000</v>
      </c>
      <c r="I22" s="50">
        <f t="shared" si="1"/>
        <v>137000</v>
      </c>
      <c r="J22" s="50">
        <f t="shared" si="1"/>
        <v>174000</v>
      </c>
      <c r="K22" s="50">
        <f t="shared" si="1"/>
        <v>211000</v>
      </c>
      <c r="L22" s="50">
        <f t="shared" ref="L22" si="2">K22+L21</f>
        <v>246000</v>
      </c>
      <c r="M22" s="50">
        <f t="shared" ref="M22" si="3">L22+M21</f>
        <v>281000</v>
      </c>
      <c r="N22" s="50"/>
      <c r="O22" s="50"/>
    </row>
    <row r="23" spans="2:15" x14ac:dyDescent="0.3">
      <c r="B23" s="32" t="s">
        <v>22</v>
      </c>
      <c r="C23" s="21" t="s">
        <v>23</v>
      </c>
      <c r="D23" s="55">
        <v>0.95</v>
      </c>
      <c r="E23" s="56">
        <v>0.92</v>
      </c>
      <c r="F23" s="56">
        <v>0.9</v>
      </c>
      <c r="G23" s="56">
        <v>0.92</v>
      </c>
      <c r="H23" s="56">
        <v>0.95</v>
      </c>
      <c r="I23" s="56">
        <v>0.95</v>
      </c>
      <c r="J23" s="56">
        <v>0.98</v>
      </c>
      <c r="K23" s="56">
        <v>0.98</v>
      </c>
      <c r="L23" s="56">
        <v>0.96</v>
      </c>
      <c r="M23" s="56">
        <v>0.96</v>
      </c>
      <c r="N23" s="53"/>
      <c r="O23" s="54"/>
    </row>
    <row r="24" spans="2:15" x14ac:dyDescent="0.3">
      <c r="B24" s="32" t="s">
        <v>1</v>
      </c>
      <c r="C24" s="21"/>
      <c r="D24" s="50">
        <f>D23*$C$27</f>
        <v>42750</v>
      </c>
      <c r="E24" s="50">
        <f t="shared" ref="E24:M24" si="4">E23*$C$27</f>
        <v>41400</v>
      </c>
      <c r="F24" s="50">
        <f t="shared" si="4"/>
        <v>40500</v>
      </c>
      <c r="G24" s="50">
        <f t="shared" si="4"/>
        <v>41400</v>
      </c>
      <c r="H24" s="50">
        <f t="shared" si="4"/>
        <v>42750</v>
      </c>
      <c r="I24" s="50">
        <f t="shared" si="4"/>
        <v>42750</v>
      </c>
      <c r="J24" s="50">
        <f t="shared" si="4"/>
        <v>44100</v>
      </c>
      <c r="K24" s="50">
        <f t="shared" si="4"/>
        <v>44100</v>
      </c>
      <c r="L24" s="50">
        <f t="shared" si="4"/>
        <v>43200</v>
      </c>
      <c r="M24" s="50">
        <f t="shared" si="4"/>
        <v>43200</v>
      </c>
      <c r="N24" s="50"/>
      <c r="O24" s="50"/>
    </row>
    <row r="25" spans="2:15" ht="15" thickBot="1" x14ac:dyDescent="0.35">
      <c r="B25" s="33" t="s">
        <v>5</v>
      </c>
      <c r="C25" s="34" t="s">
        <v>4</v>
      </c>
      <c r="D25" s="50">
        <f>D24</f>
        <v>42750</v>
      </c>
      <c r="E25" s="50">
        <f>D24+E24</f>
        <v>84150</v>
      </c>
      <c r="F25" s="50">
        <f>E25+F24</f>
        <v>124650</v>
      </c>
      <c r="G25" s="50">
        <f>F25+G24</f>
        <v>166050</v>
      </c>
      <c r="H25" s="50">
        <f>G25+H24</f>
        <v>208800</v>
      </c>
      <c r="I25" s="50">
        <f t="shared" ref="I25:K25" si="5">H25+I24</f>
        <v>251550</v>
      </c>
      <c r="J25" s="50">
        <f t="shared" si="5"/>
        <v>295650</v>
      </c>
      <c r="K25" s="50">
        <f t="shared" si="5"/>
        <v>339750</v>
      </c>
      <c r="L25" s="50">
        <f t="shared" ref="L25" si="6">K25+L24</f>
        <v>382950</v>
      </c>
      <c r="M25" s="50">
        <f t="shared" ref="M25" si="7">L25+M24</f>
        <v>426150</v>
      </c>
      <c r="N25" s="50"/>
      <c r="O25" s="50"/>
    </row>
    <row r="26" spans="2:15" ht="16.8" thickBot="1" x14ac:dyDescent="0.35">
      <c r="D26" s="1" t="s">
        <v>0</v>
      </c>
    </row>
    <row r="27" spans="2:15" ht="16.8" thickBot="1" x14ac:dyDescent="0.35">
      <c r="B27" s="26" t="s">
        <v>7</v>
      </c>
      <c r="C27" s="57">
        <v>45000</v>
      </c>
      <c r="D27" s="1"/>
    </row>
    <row r="28" spans="2:15" ht="16.8" thickBot="1" x14ac:dyDescent="0.35">
      <c r="C28" s="13"/>
      <c r="D28" s="1"/>
    </row>
    <row r="29" spans="2:15" x14ac:dyDescent="0.3">
      <c r="B29" s="23" t="s">
        <v>19</v>
      </c>
      <c r="C29" s="24" t="s">
        <v>6</v>
      </c>
    </row>
    <row r="30" spans="2:15" ht="18.75" customHeight="1" x14ac:dyDescent="0.3">
      <c r="B30" s="22" t="s">
        <v>20</v>
      </c>
      <c r="C30" s="58">
        <v>45000</v>
      </c>
      <c r="D30" s="7"/>
      <c r="E30" s="7"/>
    </row>
    <row r="31" spans="2:15" ht="30.75" customHeight="1" x14ac:dyDescent="0.3">
      <c r="B31" s="22" t="s">
        <v>32</v>
      </c>
      <c r="C31" s="58">
        <v>45000</v>
      </c>
    </row>
    <row r="32" spans="2:15" ht="33" customHeight="1" x14ac:dyDescent="0.3">
      <c r="B32" s="22" t="s">
        <v>33</v>
      </c>
      <c r="C32" s="59">
        <v>44500</v>
      </c>
    </row>
    <row r="33" spans="2:3" ht="36" customHeight="1" x14ac:dyDescent="0.3">
      <c r="B33" s="22" t="s">
        <v>21</v>
      </c>
      <c r="C33" s="59">
        <v>41400</v>
      </c>
    </row>
    <row r="34" spans="2:3" ht="35.25" customHeight="1" thickBot="1" x14ac:dyDescent="0.35">
      <c r="B34" s="25" t="s">
        <v>34</v>
      </c>
      <c r="C34" s="60">
        <v>0.92</v>
      </c>
    </row>
    <row r="37" spans="2:3" x14ac:dyDescent="0.3">
      <c r="B37" s="45" t="s">
        <v>25</v>
      </c>
    </row>
    <row r="38" spans="2:3" x14ac:dyDescent="0.3">
      <c r="B38" s="45" t="s">
        <v>24</v>
      </c>
    </row>
    <row r="39" spans="2:3" x14ac:dyDescent="0.3">
      <c r="B39" s="45"/>
    </row>
    <row r="40" spans="2:3" x14ac:dyDescent="0.3">
      <c r="B40" s="45" t="s">
        <v>26</v>
      </c>
    </row>
    <row r="41" spans="2:3" x14ac:dyDescent="0.3">
      <c r="B41" s="45" t="s">
        <v>27</v>
      </c>
    </row>
    <row r="42" spans="2:3" x14ac:dyDescent="0.3">
      <c r="B42" s="45"/>
    </row>
    <row r="43" spans="2:3" x14ac:dyDescent="0.3">
      <c r="B43" s="45" t="s">
        <v>28</v>
      </c>
    </row>
    <row r="44" spans="2:3" x14ac:dyDescent="0.3">
      <c r="B44" s="45" t="s">
        <v>29</v>
      </c>
    </row>
    <row r="45" spans="2:3" x14ac:dyDescent="0.3">
      <c r="B45" s="45"/>
    </row>
    <row r="46" spans="2:3" x14ac:dyDescent="0.3">
      <c r="B46" s="45" t="s">
        <v>30</v>
      </c>
    </row>
    <row r="47" spans="2:3" x14ac:dyDescent="0.3">
      <c r="B47" s="45" t="s">
        <v>31</v>
      </c>
    </row>
  </sheetData>
  <mergeCells count="7">
    <mergeCell ref="D16:O16"/>
    <mergeCell ref="N6:O6"/>
    <mergeCell ref="N7:O7"/>
    <mergeCell ref="N14:O14"/>
    <mergeCell ref="N15:O15"/>
    <mergeCell ref="B8:O8"/>
    <mergeCell ref="L12:O12"/>
  </mergeCells>
  <conditionalFormatting sqref="C30:C31">
    <cfRule type="expression" dxfId="25" priority="1">
      <formula>IF(ROUND(($N$14-$N$7)/30,0)=1,1,0)</formula>
    </cfRule>
  </conditionalFormatting>
  <conditionalFormatting sqref="D18:D25 E24:M24">
    <cfRule type="expression" dxfId="24" priority="5">
      <formula>IF(ROUND(($N$14-$N$7)/30,0)=1,1,0)</formula>
    </cfRule>
  </conditionalFormatting>
  <conditionalFormatting sqref="E18:E23">
    <cfRule type="expression" dxfId="23" priority="26">
      <formula>IF(ROUND(($N$14-$N$7)/30,0)=2,1,0)</formula>
    </cfRule>
  </conditionalFormatting>
  <conditionalFormatting sqref="E25">
    <cfRule type="expression" dxfId="22" priority="10">
      <formula>IF(ROUND(($N$14-$N$7)/30,0)=2,1,0)</formula>
    </cfRule>
  </conditionalFormatting>
  <conditionalFormatting sqref="F18:F23">
    <cfRule type="expression" dxfId="21" priority="24">
      <formula>IF(ROUND(($N$14-$N$7)/30,0)=3,1,0)</formula>
    </cfRule>
  </conditionalFormatting>
  <conditionalFormatting sqref="F25">
    <cfRule type="expression" dxfId="20" priority="9">
      <formula>IF(ROUND(($N$14-$N$7)/30,0)=3,1,0)</formula>
    </cfRule>
  </conditionalFormatting>
  <conditionalFormatting sqref="G18:G23">
    <cfRule type="expression" dxfId="19" priority="23">
      <formula>IF(ROUND(($N$14-$N$7)/30,0)=4,1,0)</formula>
    </cfRule>
  </conditionalFormatting>
  <conditionalFormatting sqref="G25">
    <cfRule type="expression" dxfId="18" priority="8">
      <formula>IF(ROUND(($N$14-$N$7)/30,0)=4,1,0)</formula>
    </cfRule>
  </conditionalFormatting>
  <conditionalFormatting sqref="H18:H23">
    <cfRule type="expression" dxfId="17" priority="22">
      <formula>IF(ROUND(($N$14-$N$7)/30,0)=5,1,0)</formula>
    </cfRule>
  </conditionalFormatting>
  <conditionalFormatting sqref="H25">
    <cfRule type="expression" dxfId="16" priority="7">
      <formula>IF(ROUND(($N$14-$N$7)/30,0)=5,1,0)</formula>
    </cfRule>
  </conditionalFormatting>
  <conditionalFormatting sqref="I18:I23">
    <cfRule type="expression" dxfId="15" priority="21">
      <formula>IF(ROUND(($N$14-$N$7)/30,0)=6,1,0)</formula>
    </cfRule>
  </conditionalFormatting>
  <conditionalFormatting sqref="I25">
    <cfRule type="expression" dxfId="14" priority="6">
      <formula>IF(ROUND(($N$14-$N$7)/30,0)=6,1,0)</formula>
    </cfRule>
  </conditionalFormatting>
  <conditionalFormatting sqref="J18:J23 K22:M22">
    <cfRule type="expression" dxfId="13" priority="20">
      <formula>IF(ROUND(($N$14-$N$7)/30,0)=7,1,0)</formula>
    </cfRule>
  </conditionalFormatting>
  <conditionalFormatting sqref="K18:K21 L21:N21">
    <cfRule type="expression" dxfId="12" priority="31">
      <formula>IF(ROUND(($N$14-$N$7)/30,0)=8,1,0)</formula>
    </cfRule>
  </conditionalFormatting>
  <conditionalFormatting sqref="K23:M23">
    <cfRule type="expression" dxfId="11" priority="47">
      <formula>IF(ROUND(($N$14-$N$7)/30,0)=8,1,0)</formula>
    </cfRule>
  </conditionalFormatting>
  <conditionalFormatting sqref="L18:L20">
    <cfRule type="expression" dxfId="10" priority="30">
      <formula>IF(ROUND(($N$14-$N$7)/30,0)=9,1,0)</formula>
    </cfRule>
  </conditionalFormatting>
  <conditionalFormatting sqref="N22:O22">
    <cfRule type="expression" dxfId="8" priority="3">
      <formula>IF(ROUND(($N$14-$N$7)/30,0)=7,1,0)</formula>
    </cfRule>
  </conditionalFormatting>
  <conditionalFormatting sqref="N24:O24">
    <cfRule type="expression" dxfId="7" priority="12">
      <formula>IF(ROUND(($N$14-$N$7)/30,0)=1,1,0)</formula>
    </cfRule>
  </conditionalFormatting>
  <conditionalFormatting sqref="N25:O25">
    <cfRule type="expression" dxfId="6" priority="4">
      <formula>IF(ROUND(($N$14-$N$7)/30,0)=7,1,0)</formula>
    </cfRule>
  </conditionalFormatting>
  <conditionalFormatting sqref="M18:M20">
    <cfRule type="expression" dxfId="5" priority="29">
      <formula>IF(ROUND(($N$14-$N$7)/30,0)=10,1,0)</formula>
    </cfRule>
  </conditionalFormatting>
  <conditionalFormatting sqref="N6:N7 N9:N11 N13:N15">
    <cfRule type="expression" dxfId="3" priority="42">
      <formula>IF(ROUND(($N$14-$N$7)/30,0)=3,1,0)</formula>
    </cfRule>
  </conditionalFormatting>
  <conditionalFormatting sqref="N18:N20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18:O21 O23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MARIA DANIELA SANTILLAN SANDOVAL</cp:lastModifiedBy>
  <cp:lastPrinted>2012-05-23T16:28:30Z</cp:lastPrinted>
  <dcterms:created xsi:type="dcterms:W3CDTF">2011-05-27T04:00:15Z</dcterms:created>
  <dcterms:modified xsi:type="dcterms:W3CDTF">2026-05-13T06:54:42Z</dcterms:modified>
</cp:coreProperties>
</file>